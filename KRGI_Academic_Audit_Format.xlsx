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BA project\"/>
    </mc:Choice>
  </mc:AlternateContent>
  <xr:revisionPtr revIDLastSave="0" documentId="8_{4878AA8D-35C6-483A-9EF3-DB5E4D51EF16}" xr6:coauthVersionLast="47" xr6:coauthVersionMax="47" xr10:uidLastSave="{00000000-0000-0000-0000-000000000000}"/>
  <bookViews>
    <workbookView xWindow="-120" yWindow="-120" windowWidth="29040" windowHeight="15720" firstSheet="9" activeTab="15" xr2:uid="{00000000-000D-0000-FFFF-FFFF00000000}"/>
  </bookViews>
  <sheets>
    <sheet name="Guide" sheetId="1" r:id="rId1"/>
    <sheet name="KRGI Dashboard" sheetId="2" r:id="rId2"/>
    <sheet name="All Criteria" sheetId="4" r:id="rId3"/>
    <sheet name="C1 Validation Rubrics" sheetId="5" r:id="rId4"/>
    <sheet name="C2 Validation Rubrics" sheetId="6" r:id="rId5"/>
    <sheet name="C3 Validation Rubrics" sheetId="7" r:id="rId6"/>
    <sheet name="C4 Validation Rubrics" sheetId="8" r:id="rId7"/>
    <sheet name="C5 Validation Rubrics" sheetId="9" r:id="rId8"/>
    <sheet name="C6 Validation Rubrics" sheetId="10" r:id="rId9"/>
    <sheet name="C7 Validation Rubrics" sheetId="11" r:id="rId10"/>
    <sheet name="C8 Validation Rubrics" sheetId="12" r:id="rId11"/>
    <sheet name="C9 Validation Rubrics" sheetId="13" r:id="rId12"/>
    <sheet name="Criterion Summary" sheetId="14" r:id="rId13"/>
    <sheet name="Audit Allocation" sheetId="16" r:id="rId14"/>
    <sheet name="Auditor Pool" sheetId="17" r:id="rId15"/>
    <sheet name="Settings" sheetId="1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CT">Settings!$B$5</definedName>
    <definedName name="QMAX">Settings!$B$7</definedName>
    <definedName name="TOL">Settings!$B$8</definedName>
    <definedName name="WT">Settings!$B$6</definedName>
    <definedName name="YT">Settings!$B$4</definedName>
  </definedNames>
  <calcPr calcId="181029"/>
  <fileRecoveryPr repairLoad="1"/>
</workbook>
</file>

<file path=xl/calcChain.xml><?xml version="1.0" encoding="utf-8"?>
<calcChain xmlns="http://schemas.openxmlformats.org/spreadsheetml/2006/main">
  <c r="J64" i="16" l="1"/>
  <c r="I64" i="16" a="1"/>
  <c r="I64" i="16"/>
  <c r="H64" i="16" a="1"/>
  <c r="H64" i="16"/>
  <c r="F64" i="16" a="1"/>
  <c r="F64" i="16"/>
  <c r="E64" i="16" a="1"/>
  <c r="E64" i="16"/>
  <c r="J63" i="16"/>
  <c r="I63" i="16" a="1"/>
  <c r="I63" i="16"/>
  <c r="H63" i="16" a="1"/>
  <c r="H63" i="16"/>
  <c r="F63" i="16" a="1"/>
  <c r="F63" i="16"/>
  <c r="E63" i="16" a="1"/>
  <c r="E63" i="16"/>
  <c r="J62" i="16"/>
  <c r="I62" i="16" a="1"/>
  <c r="I62" i="16"/>
  <c r="H62" i="16" a="1"/>
  <c r="H62" i="16"/>
  <c r="F62" i="16" a="1"/>
  <c r="F62" i="16"/>
  <c r="E62" i="16" a="1"/>
  <c r="E62" i="16"/>
  <c r="J61" i="16"/>
  <c r="I61" i="16" a="1"/>
  <c r="I61" i="16"/>
  <c r="H61" i="16" a="1"/>
  <c r="H61" i="16"/>
  <c r="F61" i="16" a="1"/>
  <c r="F61" i="16"/>
  <c r="E61" i="16" a="1"/>
  <c r="E61" i="16"/>
  <c r="J60" i="16"/>
  <c r="I60" i="16" a="1"/>
  <c r="I60" i="16"/>
  <c r="H60" i="16" a="1"/>
  <c r="H60" i="16"/>
  <c r="F60" i="16" a="1"/>
  <c r="F60" i="16"/>
  <c r="E60" i="16" a="1"/>
  <c r="E60" i="16"/>
  <c r="J59" i="16"/>
  <c r="I59" i="16" a="1"/>
  <c r="I59" i="16"/>
  <c r="H59" i="16" a="1"/>
  <c r="H59" i="16"/>
  <c r="F59" i="16" a="1"/>
  <c r="F59" i="16"/>
  <c r="E59" i="16" a="1"/>
  <c r="E59" i="16"/>
  <c r="J58" i="16"/>
  <c r="I58" i="16" a="1"/>
  <c r="I58" i="16"/>
  <c r="H58" i="16" a="1"/>
  <c r="H58" i="16"/>
  <c r="F58" i="16" a="1"/>
  <c r="F58" i="16"/>
  <c r="E58" i="16" a="1"/>
  <c r="E58" i="16"/>
  <c r="J57" i="16"/>
  <c r="I57" i="16" a="1"/>
  <c r="I57" i="16"/>
  <c r="H57" i="16" a="1"/>
  <c r="H57" i="16"/>
  <c r="F57" i="16" a="1"/>
  <c r="F57" i="16"/>
  <c r="E57" i="16" a="1"/>
  <c r="E57" i="16"/>
  <c r="J56" i="16"/>
  <c r="I56" i="16" a="1"/>
  <c r="I56" i="16"/>
  <c r="H56" i="16" a="1"/>
  <c r="H56" i="16"/>
  <c r="F56" i="16" a="1"/>
  <c r="F56" i="16"/>
  <c r="E56" i="16" a="1"/>
  <c r="E56" i="16"/>
  <c r="J55" i="16"/>
  <c r="I55" i="16" a="1"/>
  <c r="I55" i="16"/>
  <c r="H55" i="16" a="1"/>
  <c r="H55" i="16"/>
  <c r="F55" i="16" a="1"/>
  <c r="F55" i="16"/>
  <c r="E55" i="16" a="1"/>
  <c r="E55" i="16"/>
  <c r="J54" i="16"/>
  <c r="I54" i="16" a="1"/>
  <c r="I54" i="16"/>
  <c r="H54" i="16" a="1"/>
  <c r="H54" i="16"/>
  <c r="F54" i="16" a="1"/>
  <c r="F54" i="16"/>
  <c r="E54" i="16" a="1"/>
  <c r="E54" i="16"/>
  <c r="J53" i="16"/>
  <c r="I53" i="16" a="1"/>
  <c r="I53" i="16"/>
  <c r="H53" i="16" a="1"/>
  <c r="H53" i="16"/>
  <c r="F53" i="16" a="1"/>
  <c r="F53" i="16"/>
  <c r="E53" i="16" a="1"/>
  <c r="E53" i="16"/>
  <c r="J52" i="16"/>
  <c r="I52" i="16" a="1"/>
  <c r="I52" i="16"/>
  <c r="H52" i="16" a="1"/>
  <c r="H52" i="16"/>
  <c r="F52" i="16" a="1"/>
  <c r="F52" i="16"/>
  <c r="E52" i="16" a="1"/>
  <c r="E52" i="16"/>
  <c r="J51" i="16"/>
  <c r="I51" i="16" a="1"/>
  <c r="I51" i="16"/>
  <c r="H51" i="16" a="1"/>
  <c r="H51" i="16"/>
  <c r="F51" i="16" a="1"/>
  <c r="F51" i="16"/>
  <c r="E51" i="16" a="1"/>
  <c r="E51" i="16"/>
  <c r="J50" i="16"/>
  <c r="I50" i="16" a="1"/>
  <c r="I50" i="16"/>
  <c r="H50" i="16" a="1"/>
  <c r="H50" i="16"/>
  <c r="F50" i="16" a="1"/>
  <c r="F50" i="16"/>
  <c r="E50" i="16" a="1"/>
  <c r="E50" i="16"/>
  <c r="J49" i="16"/>
  <c r="I49" i="16" a="1"/>
  <c r="I49" i="16"/>
  <c r="H49" i="16" a="1"/>
  <c r="H49" i="16"/>
  <c r="F49" i="16" a="1"/>
  <c r="F49" i="16"/>
  <c r="E49" i="16" a="1"/>
  <c r="E49" i="16"/>
  <c r="J48" i="16"/>
  <c r="I48" i="16" a="1"/>
  <c r="I48" i="16"/>
  <c r="H48" i="16" a="1"/>
  <c r="H48" i="16"/>
  <c r="F48" i="16" a="1"/>
  <c r="F48" i="16"/>
  <c r="E48" i="16" a="1"/>
  <c r="E48" i="16"/>
  <c r="J47" i="16"/>
  <c r="I47" i="16" a="1"/>
  <c r="I47" i="16"/>
  <c r="H47" i="16" a="1"/>
  <c r="H47" i="16"/>
  <c r="F47" i="16" a="1"/>
  <c r="F47" i="16"/>
  <c r="E47" i="16" a="1"/>
  <c r="E47" i="16"/>
  <c r="J46" i="16"/>
  <c r="I46" i="16" a="1"/>
  <c r="I46" i="16"/>
  <c r="H46" i="16" a="1"/>
  <c r="H46" i="16"/>
  <c r="F46" i="16" a="1"/>
  <c r="F46" i="16"/>
  <c r="E46" i="16" a="1"/>
  <c r="E46" i="16"/>
  <c r="J45" i="16"/>
  <c r="I45" i="16" a="1"/>
  <c r="I45" i="16"/>
  <c r="H45" i="16" a="1"/>
  <c r="H45" i="16"/>
  <c r="F45" i="16" a="1"/>
  <c r="F45" i="16"/>
  <c r="E45" i="16" a="1"/>
  <c r="E45" i="16"/>
  <c r="J44" i="16"/>
  <c r="I44" i="16" a="1"/>
  <c r="I44" i="16"/>
  <c r="H44" i="16" a="1"/>
  <c r="H44" i="16"/>
  <c r="F44" i="16" a="1"/>
  <c r="F44" i="16"/>
  <c r="E44" i="16" a="1"/>
  <c r="E44" i="16"/>
  <c r="J43" i="16"/>
  <c r="I43" i="16" a="1"/>
  <c r="I43" i="16"/>
  <c r="H43" i="16" a="1"/>
  <c r="H43" i="16"/>
  <c r="F43" i="16" a="1"/>
  <c r="F43" i="16"/>
  <c r="E43" i="16" a="1"/>
  <c r="E43" i="16"/>
  <c r="J42" i="16"/>
  <c r="I42" i="16" a="1"/>
  <c r="I42" i="16"/>
  <c r="H42" i="16" a="1"/>
  <c r="H42" i="16"/>
  <c r="F42" i="16" a="1"/>
  <c r="F42" i="16"/>
  <c r="E42" i="16" a="1"/>
  <c r="E42" i="16"/>
  <c r="J41" i="16"/>
  <c r="I41" i="16" a="1"/>
  <c r="I41" i="16"/>
  <c r="H41" i="16" a="1"/>
  <c r="H41" i="16"/>
  <c r="F41" i="16" a="1"/>
  <c r="F41" i="16"/>
  <c r="E41" i="16" a="1"/>
  <c r="E41" i="16"/>
  <c r="J40" i="16"/>
  <c r="I40" i="16" a="1"/>
  <c r="I40" i="16"/>
  <c r="H40" i="16" a="1"/>
  <c r="H40" i="16"/>
  <c r="F40" i="16" a="1"/>
  <c r="F40" i="16"/>
  <c r="E40" i="16" a="1"/>
  <c r="E40" i="16"/>
  <c r="J39" i="16"/>
  <c r="I39" i="16" a="1"/>
  <c r="I39" i="16"/>
  <c r="H39" i="16" a="1"/>
  <c r="H39" i="16"/>
  <c r="F39" i="16" a="1"/>
  <c r="F39" i="16"/>
  <c r="E39" i="16" a="1"/>
  <c r="E39" i="16"/>
  <c r="J38" i="16"/>
  <c r="I38" i="16" a="1"/>
  <c r="I38" i="16"/>
  <c r="H38" i="16" a="1"/>
  <c r="H38" i="16"/>
  <c r="F38" i="16" a="1"/>
  <c r="F38" i="16"/>
  <c r="E38" i="16" a="1"/>
  <c r="E38" i="16"/>
  <c r="J37" i="16"/>
  <c r="I37" i="16" a="1"/>
  <c r="I37" i="16"/>
  <c r="H37" i="16" a="1"/>
  <c r="H37" i="16"/>
  <c r="F37" i="16" a="1"/>
  <c r="F37" i="16"/>
  <c r="E37" i="16" a="1"/>
  <c r="E37" i="16"/>
  <c r="J36" i="16"/>
  <c r="I36" i="16" a="1"/>
  <c r="I36" i="16"/>
  <c r="H36" i="16" a="1"/>
  <c r="H36" i="16"/>
  <c r="F36" i="16" a="1"/>
  <c r="F36" i="16"/>
  <c r="E36" i="16" a="1"/>
  <c r="E36" i="16"/>
  <c r="J35" i="16"/>
  <c r="I35" i="16" a="1"/>
  <c r="I35" i="16"/>
  <c r="H35" i="16" a="1"/>
  <c r="H35" i="16"/>
  <c r="F35" i="16" a="1"/>
  <c r="F35" i="16"/>
  <c r="E35" i="16" a="1"/>
  <c r="E35" i="16"/>
  <c r="J34" i="16"/>
  <c r="I34" i="16" a="1"/>
  <c r="I34" i="16"/>
  <c r="H34" i="16" a="1"/>
  <c r="H34" i="16"/>
  <c r="F34" i="16" a="1"/>
  <c r="F34" i="16"/>
  <c r="E34" i="16" a="1"/>
  <c r="E34" i="16"/>
  <c r="J33" i="16"/>
  <c r="I33" i="16" a="1"/>
  <c r="I33" i="16"/>
  <c r="H33" i="16" a="1"/>
  <c r="H33" i="16"/>
  <c r="F33" i="16" a="1"/>
  <c r="F33" i="16"/>
  <c r="E33" i="16" a="1"/>
  <c r="E33" i="16"/>
  <c r="J32" i="16"/>
  <c r="I32" i="16" a="1"/>
  <c r="I32" i="16"/>
  <c r="H32" i="16" a="1"/>
  <c r="H32" i="16"/>
  <c r="F32" i="16" a="1"/>
  <c r="F32" i="16"/>
  <c r="E32" i="16" a="1"/>
  <c r="E32" i="16"/>
  <c r="J31" i="16"/>
  <c r="I31" i="16" a="1"/>
  <c r="I31" i="16"/>
  <c r="H31" i="16" a="1"/>
  <c r="H31" i="16"/>
  <c r="F31" i="16" a="1"/>
  <c r="F31" i="16"/>
  <c r="E31" i="16" a="1"/>
  <c r="E31" i="16"/>
  <c r="J30" i="16"/>
  <c r="I30" i="16" a="1"/>
  <c r="I30" i="16"/>
  <c r="H30" i="16" a="1"/>
  <c r="H30" i="16"/>
  <c r="F30" i="16" a="1"/>
  <c r="F30" i="16"/>
  <c r="E30" i="16" a="1"/>
  <c r="E30" i="16"/>
  <c r="J29" i="16"/>
  <c r="I29" i="16" a="1"/>
  <c r="I29" i="16"/>
  <c r="H29" i="16" a="1"/>
  <c r="H29" i="16"/>
  <c r="F29" i="16" a="1"/>
  <c r="F29" i="16"/>
  <c r="E29" i="16" a="1"/>
  <c r="E29" i="16"/>
  <c r="J28" i="16"/>
  <c r="I28" i="16" a="1"/>
  <c r="I28" i="16"/>
  <c r="H28" i="16" a="1"/>
  <c r="H28" i="16"/>
  <c r="F28" i="16" a="1"/>
  <c r="F28" i="16"/>
  <c r="E28" i="16" a="1"/>
  <c r="E28" i="16"/>
  <c r="J27" i="16"/>
  <c r="I27" i="16" a="1"/>
  <c r="I27" i="16"/>
  <c r="H27" i="16" a="1"/>
  <c r="H27" i="16"/>
  <c r="F27" i="16" a="1"/>
  <c r="F27" i="16"/>
  <c r="E27" i="16" a="1"/>
  <c r="E27" i="16"/>
  <c r="J26" i="16"/>
  <c r="I26" i="16" a="1"/>
  <c r="I26" i="16"/>
  <c r="H26" i="16" a="1"/>
  <c r="H26" i="16"/>
  <c r="F26" i="16" a="1"/>
  <c r="F26" i="16"/>
  <c r="E26" i="16" a="1"/>
  <c r="E26" i="16"/>
  <c r="J25" i="16"/>
  <c r="I25" i="16" a="1"/>
  <c r="I25" i="16"/>
  <c r="H25" i="16" a="1"/>
  <c r="H25" i="16"/>
  <c r="F25" i="16" a="1"/>
  <c r="F25" i="16"/>
  <c r="E25" i="16" a="1"/>
  <c r="E25" i="16"/>
  <c r="J24" i="16"/>
  <c r="I24" i="16" a="1"/>
  <c r="I24" i="16"/>
  <c r="H24" i="16" a="1"/>
  <c r="H24" i="16"/>
  <c r="F24" i="16" a="1"/>
  <c r="F24" i="16"/>
  <c r="E24" i="16" a="1"/>
  <c r="E24" i="16"/>
  <c r="J23" i="16"/>
  <c r="I23" i="16" a="1"/>
  <c r="I23" i="16"/>
  <c r="H23" i="16" a="1"/>
  <c r="H23" i="16"/>
  <c r="F23" i="16" a="1"/>
  <c r="F23" i="16"/>
  <c r="E23" i="16" a="1"/>
  <c r="E23" i="16"/>
  <c r="J22" i="16"/>
  <c r="I22" i="16" a="1"/>
  <c r="I22" i="16"/>
  <c r="H22" i="16" a="1"/>
  <c r="H22" i="16"/>
  <c r="F22" i="16" a="1"/>
  <c r="F22" i="16"/>
  <c r="E22" i="16" a="1"/>
  <c r="E22" i="16"/>
  <c r="J21" i="16"/>
  <c r="I21" i="16" a="1"/>
  <c r="I21" i="16"/>
  <c r="H21" i="16" a="1"/>
  <c r="H21" i="16"/>
  <c r="F21" i="16" a="1"/>
  <c r="F21" i="16"/>
  <c r="E21" i="16" a="1"/>
  <c r="E21" i="16"/>
  <c r="J20" i="16"/>
  <c r="I20" i="16" a="1"/>
  <c r="I20" i="16"/>
  <c r="H20" i="16" a="1"/>
  <c r="H20" i="16"/>
  <c r="F20" i="16" a="1"/>
  <c r="F20" i="16"/>
  <c r="E20" i="16" a="1"/>
  <c r="E20" i="16"/>
  <c r="J19" i="16"/>
  <c r="I19" i="16" a="1"/>
  <c r="I19" i="16"/>
  <c r="H19" i="16" a="1"/>
  <c r="H19" i="16"/>
  <c r="F19" i="16" a="1"/>
  <c r="F19" i="16"/>
  <c r="E19" i="16" a="1"/>
  <c r="E19" i="16"/>
  <c r="J18" i="16"/>
  <c r="I18" i="16" a="1"/>
  <c r="I18" i="16"/>
  <c r="H18" i="16" a="1"/>
  <c r="H18" i="16"/>
  <c r="F18" i="16" a="1"/>
  <c r="F18" i="16"/>
  <c r="E18" i="16" a="1"/>
  <c r="E18" i="16"/>
  <c r="J17" i="16"/>
  <c r="I17" i="16" a="1"/>
  <c r="I17" i="16"/>
  <c r="H17" i="16" a="1"/>
  <c r="H17" i="16"/>
  <c r="F17" i="16" a="1"/>
  <c r="F17" i="16"/>
  <c r="E17" i="16" a="1"/>
  <c r="E17" i="16"/>
  <c r="J16" i="16"/>
  <c r="I16" i="16" a="1"/>
  <c r="I16" i="16"/>
  <c r="H16" i="16" a="1"/>
  <c r="H16" i="16"/>
  <c r="F16" i="16" a="1"/>
  <c r="F16" i="16"/>
  <c r="E16" i="16" a="1"/>
  <c r="E16" i="16"/>
  <c r="J15" i="16"/>
  <c r="I15" i="16" a="1"/>
  <c r="I15" i="16"/>
  <c r="H15" i="16" a="1"/>
  <c r="H15" i="16"/>
  <c r="F15" i="16" a="1"/>
  <c r="F15" i="16"/>
  <c r="E15" i="16" a="1"/>
  <c r="E15" i="16"/>
  <c r="J14" i="16"/>
  <c r="I14" i="16" a="1"/>
  <c r="I14" i="16"/>
  <c r="H14" i="16" a="1"/>
  <c r="H14" i="16"/>
  <c r="F14" i="16" a="1"/>
  <c r="F14" i="16"/>
  <c r="E14" i="16" a="1"/>
  <c r="E14" i="16"/>
  <c r="J13" i="16"/>
  <c r="I13" i="16" a="1"/>
  <c r="I13" i="16"/>
  <c r="H13" i="16" a="1"/>
  <c r="H13" i="16"/>
  <c r="F13" i="16" a="1"/>
  <c r="F13" i="16"/>
  <c r="E13" i="16" a="1"/>
  <c r="E13" i="16"/>
  <c r="J12" i="16"/>
  <c r="I12" i="16" a="1"/>
  <c r="I12" i="16"/>
  <c r="H12" i="16" a="1"/>
  <c r="H12" i="16"/>
  <c r="F12" i="16" a="1"/>
  <c r="F12" i="16"/>
  <c r="E12" i="16" a="1"/>
  <c r="E12" i="16"/>
  <c r="J11" i="16"/>
  <c r="I11" i="16" a="1"/>
  <c r="I11" i="16"/>
  <c r="H11" i="16" a="1"/>
  <c r="H11" i="16"/>
  <c r="F11" i="16" a="1"/>
  <c r="F11" i="16"/>
  <c r="E11" i="16" a="1"/>
  <c r="E11" i="16"/>
  <c r="J10" i="16"/>
  <c r="I10" i="16" a="1"/>
  <c r="I10" i="16"/>
  <c r="H10" i="16" a="1"/>
  <c r="H10" i="16"/>
  <c r="F10" i="16" a="1"/>
  <c r="F10" i="16"/>
  <c r="E10" i="16" a="1"/>
  <c r="E10" i="16"/>
  <c r="J9" i="16"/>
  <c r="I9" i="16" a="1"/>
  <c r="I9" i="16"/>
  <c r="H9" i="16" a="1"/>
  <c r="H9" i="16"/>
  <c r="F9" i="16" a="1"/>
  <c r="F9" i="16"/>
  <c r="E9" i="16" a="1"/>
  <c r="E9" i="16"/>
  <c r="J8" i="16"/>
  <c r="I8" i="16" a="1"/>
  <c r="I8" i="16"/>
  <c r="H8" i="16" a="1"/>
  <c r="H8" i="16"/>
  <c r="F8" i="16" a="1"/>
  <c r="F8" i="16"/>
  <c r="E8" i="16" a="1"/>
  <c r="E8" i="16"/>
  <c r="J7" i="16"/>
  <c r="I7" i="16" a="1"/>
  <c r="I7" i="16"/>
  <c r="H7" i="16" a="1"/>
  <c r="H7" i="16"/>
  <c r="F7" i="16" a="1"/>
  <c r="F7" i="16"/>
  <c r="E7" i="16" a="1"/>
  <c r="E7" i="16"/>
  <c r="J6" i="16"/>
  <c r="I6" i="16" a="1"/>
  <c r="I6" i="16"/>
  <c r="H6" i="16" a="1"/>
  <c r="H6" i="16"/>
  <c r="F6" i="16" a="1"/>
  <c r="F6" i="16"/>
  <c r="E6" i="16" a="1"/>
  <c r="E6" i="16"/>
  <c r="J5" i="16"/>
  <c r="I5" i="16" a="1"/>
  <c r="I5" i="16"/>
  <c r="H5" i="16" a="1"/>
  <c r="H5" i="16"/>
  <c r="F5" i="16" a="1"/>
  <c r="F5" i="16"/>
  <c r="E5" i="16" a="1"/>
  <c r="E5" i="16"/>
  <c r="J43" i="14"/>
  <c r="I43" i="14"/>
  <c r="H43" i="14"/>
  <c r="G43" i="14"/>
  <c r="D43" i="14"/>
  <c r="C42" i="14"/>
  <c r="C41" i="14"/>
  <c r="C40" i="14"/>
  <c r="C39" i="14"/>
  <c r="C38" i="14"/>
  <c r="C37" i="14"/>
  <c r="C36" i="14"/>
  <c r="C35" i="14"/>
  <c r="C34" i="14"/>
  <c r="C43" i="14" s="1"/>
  <c r="E43" i="14" s="1"/>
  <c r="F43" i="14" s="1"/>
  <c r="C13" i="14"/>
  <c r="C12" i="14"/>
  <c r="C11" i="14"/>
  <c r="C10" i="14"/>
  <c r="C9" i="14"/>
  <c r="C8" i="14"/>
  <c r="C7" i="14"/>
  <c r="C6" i="14"/>
  <c r="C5" i="14"/>
  <c r="A2" i="14"/>
  <c r="T41" i="13"/>
  <c r="U41" i="13" s="1"/>
  <c r="V41" i="13" s="1"/>
  <c r="U40" i="13"/>
  <c r="V40" i="13" s="1"/>
  <c r="T40" i="13"/>
  <c r="Q40" i="13"/>
  <c r="T39" i="13"/>
  <c r="U39" i="13" s="1"/>
  <c r="V39" i="13" s="1"/>
  <c r="U38" i="13"/>
  <c r="V38" i="13" s="1"/>
  <c r="T38" i="13"/>
  <c r="Q38" i="13"/>
  <c r="T37" i="13"/>
  <c r="U37" i="13" s="1"/>
  <c r="V37" i="13" s="1"/>
  <c r="U36" i="13"/>
  <c r="V36" i="13" s="1"/>
  <c r="T36" i="13"/>
  <c r="Q36" i="13"/>
  <c r="T35" i="13"/>
  <c r="U35" i="13" s="1"/>
  <c r="V35" i="13" s="1"/>
  <c r="U34" i="13"/>
  <c r="V34" i="13" s="1"/>
  <c r="T34" i="13"/>
  <c r="Q34" i="13"/>
  <c r="T33" i="13"/>
  <c r="U33" i="13" s="1"/>
  <c r="V33" i="13" s="1"/>
  <c r="U32" i="13"/>
  <c r="V32" i="13" s="1"/>
  <c r="T32" i="13"/>
  <c r="Q32" i="13"/>
  <c r="T31" i="13"/>
  <c r="U31" i="13" s="1"/>
  <c r="V31" i="13" s="1"/>
  <c r="U30" i="13"/>
  <c r="V30" i="13" s="1"/>
  <c r="T30" i="13"/>
  <c r="T42" i="13" s="1"/>
  <c r="U42" i="13" s="1"/>
  <c r="V42" i="13" s="1"/>
  <c r="Q30" i="13"/>
  <c r="Q42" i="13" s="1"/>
  <c r="T29" i="13"/>
  <c r="U29" i="13" s="1"/>
  <c r="V29" i="13" s="1"/>
  <c r="U28" i="13"/>
  <c r="V28" i="13" s="1"/>
  <c r="T28" i="13"/>
  <c r="Q28" i="13"/>
  <c r="T27" i="13"/>
  <c r="U27" i="13" s="1"/>
  <c r="V27" i="13" s="1"/>
  <c r="U26" i="13"/>
  <c r="V26" i="13" s="1"/>
  <c r="T26" i="13"/>
  <c r="Q26" i="13"/>
  <c r="T25" i="13"/>
  <c r="U25" i="13" s="1"/>
  <c r="V25" i="13" s="1"/>
  <c r="T24" i="13"/>
  <c r="U24" i="13" s="1"/>
  <c r="V24" i="13" s="1"/>
  <c r="T23" i="13"/>
  <c r="U23" i="13" s="1"/>
  <c r="V23" i="13" s="1"/>
  <c r="U22" i="13"/>
  <c r="V22" i="13" s="1"/>
  <c r="T22" i="13"/>
  <c r="Q22" i="13"/>
  <c r="T21" i="13"/>
  <c r="U21" i="13" s="1"/>
  <c r="V21" i="13" s="1"/>
  <c r="U20" i="13"/>
  <c r="V20" i="13" s="1"/>
  <c r="T20" i="13"/>
  <c r="Q20" i="13"/>
  <c r="T19" i="13"/>
  <c r="U19" i="13" s="1"/>
  <c r="V19" i="13" s="1"/>
  <c r="T18" i="13"/>
  <c r="U18" i="13" s="1"/>
  <c r="V18" i="13" s="1"/>
  <c r="U17" i="13"/>
  <c r="V17" i="13" s="1"/>
  <c r="T17" i="13"/>
  <c r="Q17" i="13"/>
  <c r="T16" i="13"/>
  <c r="U16" i="13" s="1"/>
  <c r="V16" i="13" s="1"/>
  <c r="T15" i="13"/>
  <c r="U15" i="13" s="1"/>
  <c r="V15" i="13" s="1"/>
  <c r="T14" i="13"/>
  <c r="U14" i="13" s="1"/>
  <c r="V14" i="13" s="1"/>
  <c r="U13" i="13"/>
  <c r="V13" i="13" s="1"/>
  <c r="T13" i="13"/>
  <c r="Q13" i="13"/>
  <c r="T12" i="13"/>
  <c r="U12" i="13" s="1"/>
  <c r="V12" i="13" s="1"/>
  <c r="T11" i="13"/>
  <c r="U11" i="13" s="1"/>
  <c r="V11" i="13" s="1"/>
  <c r="U10" i="13"/>
  <c r="V10" i="13" s="1"/>
  <c r="T10" i="13"/>
  <c r="Q10" i="13"/>
  <c r="T9" i="13"/>
  <c r="U9" i="13" s="1"/>
  <c r="V9" i="13" s="1"/>
  <c r="U8" i="13"/>
  <c r="V8" i="13" s="1"/>
  <c r="T8" i="13"/>
  <c r="Q8" i="13"/>
  <c r="T21" i="12"/>
  <c r="U21" i="12" s="1"/>
  <c r="V21" i="12" s="1"/>
  <c r="T20" i="12"/>
  <c r="U20" i="12" s="1"/>
  <c r="V20" i="12" s="1"/>
  <c r="U19" i="12"/>
  <c r="V19" i="12" s="1"/>
  <c r="T19" i="12"/>
  <c r="Q19" i="12"/>
  <c r="T18" i="12"/>
  <c r="U18" i="12" s="1"/>
  <c r="V18" i="12" s="1"/>
  <c r="T17" i="12"/>
  <c r="U17" i="12" s="1"/>
  <c r="V17" i="12" s="1"/>
  <c r="U16" i="12"/>
  <c r="V16" i="12" s="1"/>
  <c r="T16" i="12"/>
  <c r="Q16" i="12"/>
  <c r="T15" i="12"/>
  <c r="U15" i="12" s="1"/>
  <c r="V15" i="12" s="1"/>
  <c r="T14" i="12"/>
  <c r="U14" i="12" s="1"/>
  <c r="V14" i="12" s="1"/>
  <c r="U13" i="12"/>
  <c r="V13" i="12" s="1"/>
  <c r="T13" i="12"/>
  <c r="Q13" i="12"/>
  <c r="T12" i="12"/>
  <c r="U12" i="12" s="1"/>
  <c r="V12" i="12" s="1"/>
  <c r="T11" i="12"/>
  <c r="U11" i="12" s="1"/>
  <c r="V11" i="12" s="1"/>
  <c r="T10" i="12"/>
  <c r="U10" i="12" s="1"/>
  <c r="V10" i="12" s="1"/>
  <c r="T9" i="12"/>
  <c r="U9" i="12" s="1"/>
  <c r="V9" i="12" s="1"/>
  <c r="U8" i="12"/>
  <c r="V8" i="12" s="1"/>
  <c r="T8" i="12"/>
  <c r="T22" i="12" s="1"/>
  <c r="U22" i="12" s="1"/>
  <c r="V22" i="12" s="1"/>
  <c r="Q8" i="12"/>
  <c r="Q22" i="12" s="1"/>
  <c r="T24" i="11"/>
  <c r="U24" i="11" s="1"/>
  <c r="V24" i="11" s="1"/>
  <c r="T23" i="11"/>
  <c r="U23" i="11" s="1"/>
  <c r="V23" i="11" s="1"/>
  <c r="T22" i="11"/>
  <c r="U22" i="11" s="1"/>
  <c r="V22" i="11" s="1"/>
  <c r="U21" i="11"/>
  <c r="V21" i="11" s="1"/>
  <c r="T21" i="11"/>
  <c r="Q21" i="11"/>
  <c r="T20" i="11"/>
  <c r="U20" i="11" s="1"/>
  <c r="V20" i="11" s="1"/>
  <c r="U19" i="11"/>
  <c r="V19" i="11" s="1"/>
  <c r="T19" i="11"/>
  <c r="Q19" i="11"/>
  <c r="T18" i="11"/>
  <c r="U18" i="11" s="1"/>
  <c r="V18" i="11" s="1"/>
  <c r="T17" i="11"/>
  <c r="U17" i="11" s="1"/>
  <c r="V17" i="11" s="1"/>
  <c r="U16" i="11"/>
  <c r="V16" i="11" s="1"/>
  <c r="T16" i="11"/>
  <c r="Q16" i="11"/>
  <c r="T15" i="11"/>
  <c r="U15" i="11" s="1"/>
  <c r="V15" i="11" s="1"/>
  <c r="T14" i="11"/>
  <c r="U14" i="11" s="1"/>
  <c r="V14" i="11" s="1"/>
  <c r="U13" i="11"/>
  <c r="V13" i="11" s="1"/>
  <c r="T13" i="11"/>
  <c r="Q13" i="11"/>
  <c r="T12" i="11"/>
  <c r="U12" i="11" s="1"/>
  <c r="V12" i="11" s="1"/>
  <c r="T11" i="11"/>
  <c r="U11" i="11" s="1"/>
  <c r="V11" i="11" s="1"/>
  <c r="T10" i="11"/>
  <c r="U10" i="11" s="1"/>
  <c r="V10" i="11" s="1"/>
  <c r="T9" i="11"/>
  <c r="U9" i="11" s="1"/>
  <c r="V9" i="11" s="1"/>
  <c r="U8" i="11"/>
  <c r="V8" i="11" s="1"/>
  <c r="T8" i="11"/>
  <c r="T25" i="11" s="1"/>
  <c r="U25" i="11" s="1"/>
  <c r="V25" i="11" s="1"/>
  <c r="Q8" i="11"/>
  <c r="Q25" i="11" s="1"/>
  <c r="T24" i="10"/>
  <c r="U24" i="10" s="1"/>
  <c r="V24" i="10" s="1"/>
  <c r="T23" i="10"/>
  <c r="U23" i="10" s="1"/>
  <c r="V23" i="10" s="1"/>
  <c r="T22" i="10"/>
  <c r="U22" i="10" s="1"/>
  <c r="V22" i="10" s="1"/>
  <c r="T21" i="10"/>
  <c r="U21" i="10" s="1"/>
  <c r="V21" i="10" s="1"/>
  <c r="T20" i="10"/>
  <c r="U20" i="10" s="1"/>
  <c r="V20" i="10" s="1"/>
  <c r="T19" i="10"/>
  <c r="U19" i="10" s="1"/>
  <c r="V19" i="10" s="1"/>
  <c r="T18" i="10"/>
  <c r="U18" i="10" s="1"/>
  <c r="V18" i="10" s="1"/>
  <c r="U17" i="10"/>
  <c r="V17" i="10" s="1"/>
  <c r="T17" i="10"/>
  <c r="Q17" i="10"/>
  <c r="T16" i="10"/>
  <c r="U16" i="10" s="1"/>
  <c r="V16" i="10" s="1"/>
  <c r="T15" i="10"/>
  <c r="U15" i="10" s="1"/>
  <c r="V15" i="10" s="1"/>
  <c r="T14" i="10"/>
  <c r="U14" i="10" s="1"/>
  <c r="V14" i="10" s="1"/>
  <c r="T13" i="10"/>
  <c r="U13" i="10" s="1"/>
  <c r="V13" i="10" s="1"/>
  <c r="T12" i="10"/>
  <c r="U12" i="10" s="1"/>
  <c r="V12" i="10" s="1"/>
  <c r="T11" i="10"/>
  <c r="U11" i="10" s="1"/>
  <c r="V11" i="10" s="1"/>
  <c r="T10" i="10"/>
  <c r="U10" i="10" s="1"/>
  <c r="V10" i="10" s="1"/>
  <c r="T9" i="10"/>
  <c r="U9" i="10" s="1"/>
  <c r="V9" i="10" s="1"/>
  <c r="U8" i="10"/>
  <c r="V8" i="10" s="1"/>
  <c r="T8" i="10"/>
  <c r="T25" i="10" s="1"/>
  <c r="U25" i="10" s="1"/>
  <c r="V25" i="10" s="1"/>
  <c r="Q8" i="10"/>
  <c r="Q25" i="10" s="1"/>
  <c r="T20" i="9"/>
  <c r="U20" i="9" s="1"/>
  <c r="V20" i="9" s="1"/>
  <c r="U19" i="9"/>
  <c r="V19" i="9" s="1"/>
  <c r="T19" i="9"/>
  <c r="Q19" i="9"/>
  <c r="T18" i="9"/>
  <c r="U18" i="9" s="1"/>
  <c r="V18" i="9" s="1"/>
  <c r="U17" i="9"/>
  <c r="V17" i="9" s="1"/>
  <c r="T17" i="9"/>
  <c r="Q17" i="9"/>
  <c r="T16" i="9"/>
  <c r="U16" i="9" s="1"/>
  <c r="V16" i="9" s="1"/>
  <c r="T15" i="9"/>
  <c r="U15" i="9" s="1"/>
  <c r="V15" i="9" s="1"/>
  <c r="T14" i="9"/>
  <c r="U14" i="9" s="1"/>
  <c r="V14" i="9" s="1"/>
  <c r="U13" i="9"/>
  <c r="V13" i="9" s="1"/>
  <c r="T13" i="9"/>
  <c r="Q13" i="9"/>
  <c r="T12" i="9"/>
  <c r="U12" i="9" s="1"/>
  <c r="V12" i="9" s="1"/>
  <c r="T11" i="9"/>
  <c r="U11" i="9" s="1"/>
  <c r="V11" i="9" s="1"/>
  <c r="U10" i="9"/>
  <c r="V10" i="9" s="1"/>
  <c r="T10" i="9"/>
  <c r="Q10" i="9"/>
  <c r="T9" i="9"/>
  <c r="U9" i="9" s="1"/>
  <c r="V9" i="9" s="1"/>
  <c r="U8" i="9"/>
  <c r="V8" i="9" s="1"/>
  <c r="T8" i="9"/>
  <c r="T21" i="9" s="1"/>
  <c r="U21" i="9" s="1"/>
  <c r="V21" i="9" s="1"/>
  <c r="Q8" i="9"/>
  <c r="Q21" i="9" s="1"/>
  <c r="T32" i="8"/>
  <c r="U32" i="8" s="1"/>
  <c r="V32" i="8" s="1"/>
  <c r="T31" i="8"/>
  <c r="U31" i="8" s="1"/>
  <c r="V31" i="8" s="1"/>
  <c r="T30" i="8"/>
  <c r="U30" i="8" s="1"/>
  <c r="V30" i="8" s="1"/>
  <c r="T29" i="8"/>
  <c r="U29" i="8" s="1"/>
  <c r="V29" i="8" s="1"/>
  <c r="T28" i="8"/>
  <c r="U28" i="8" s="1"/>
  <c r="V28" i="8" s="1"/>
  <c r="U27" i="8"/>
  <c r="V27" i="8" s="1"/>
  <c r="T27" i="8"/>
  <c r="Q27" i="8"/>
  <c r="T26" i="8"/>
  <c r="U26" i="8" s="1"/>
  <c r="V26" i="8" s="1"/>
  <c r="T25" i="8"/>
  <c r="U25" i="8" s="1"/>
  <c r="V25" i="8" s="1"/>
  <c r="T24" i="8"/>
  <c r="U24" i="8" s="1"/>
  <c r="V24" i="8" s="1"/>
  <c r="T23" i="8"/>
  <c r="U23" i="8" s="1"/>
  <c r="V23" i="8" s="1"/>
  <c r="U22" i="8"/>
  <c r="V22" i="8" s="1"/>
  <c r="T22" i="8"/>
  <c r="Q22" i="8"/>
  <c r="T21" i="8"/>
  <c r="U21" i="8" s="1"/>
  <c r="V21" i="8" s="1"/>
  <c r="T20" i="8"/>
  <c r="U20" i="8" s="1"/>
  <c r="V20" i="8" s="1"/>
  <c r="U19" i="8"/>
  <c r="V19" i="8" s="1"/>
  <c r="T19" i="8"/>
  <c r="Q19" i="8"/>
  <c r="T18" i="8"/>
  <c r="U18" i="8" s="1"/>
  <c r="V18" i="8" s="1"/>
  <c r="T17" i="8"/>
  <c r="U17" i="8" s="1"/>
  <c r="V17" i="8" s="1"/>
  <c r="U16" i="8"/>
  <c r="V16" i="8" s="1"/>
  <c r="T16" i="8"/>
  <c r="Q16" i="8"/>
  <c r="Q33" i="8" s="1"/>
  <c r="T15" i="8"/>
  <c r="U15" i="8" s="1"/>
  <c r="V15" i="8" s="1"/>
  <c r="T14" i="8"/>
  <c r="Q13" i="8"/>
  <c r="T12" i="8"/>
  <c r="U12" i="8" s="1"/>
  <c r="V12" i="8" s="1"/>
  <c r="T11" i="8"/>
  <c r="U11" i="8" s="1"/>
  <c r="V11" i="8" s="1"/>
  <c r="U10" i="8"/>
  <c r="V10" i="8" s="1"/>
  <c r="T10" i="8"/>
  <c r="Q10" i="8"/>
  <c r="T9" i="8"/>
  <c r="U9" i="8" s="1"/>
  <c r="V9" i="8" s="1"/>
  <c r="U8" i="8"/>
  <c r="V8" i="8" s="1"/>
  <c r="T8" i="8"/>
  <c r="Q8" i="8"/>
  <c r="T35" i="7"/>
  <c r="U35" i="7" s="1"/>
  <c r="V35" i="7" s="1"/>
  <c r="T34" i="7"/>
  <c r="U34" i="7" s="1"/>
  <c r="V34" i="7" s="1"/>
  <c r="U33" i="7"/>
  <c r="V33" i="7" s="1"/>
  <c r="T33" i="7"/>
  <c r="Q33" i="7"/>
  <c r="T32" i="7"/>
  <c r="U32" i="7" s="1"/>
  <c r="V32" i="7" s="1"/>
  <c r="T31" i="7"/>
  <c r="U31" i="7" s="1"/>
  <c r="V31" i="7" s="1"/>
  <c r="T30" i="7"/>
  <c r="U30" i="7" s="1"/>
  <c r="V30" i="7" s="1"/>
  <c r="U29" i="7"/>
  <c r="V29" i="7" s="1"/>
  <c r="T29" i="7"/>
  <c r="Q29" i="7"/>
  <c r="T28" i="7"/>
  <c r="U28" i="7" s="1"/>
  <c r="V28" i="7" s="1"/>
  <c r="T27" i="7"/>
  <c r="U27" i="7" s="1"/>
  <c r="V27" i="7" s="1"/>
  <c r="U26" i="7"/>
  <c r="V26" i="7" s="1"/>
  <c r="T26" i="7"/>
  <c r="Q26" i="7"/>
  <c r="T25" i="7"/>
  <c r="U25" i="7" s="1"/>
  <c r="V25" i="7" s="1"/>
  <c r="T24" i="7"/>
  <c r="U24" i="7" s="1"/>
  <c r="V24" i="7" s="1"/>
  <c r="T23" i="7"/>
  <c r="U23" i="7" s="1"/>
  <c r="V23" i="7" s="1"/>
  <c r="U22" i="7"/>
  <c r="V22" i="7" s="1"/>
  <c r="T22" i="7"/>
  <c r="Q22" i="7"/>
  <c r="T21" i="7"/>
  <c r="U21" i="7" s="1"/>
  <c r="V21" i="7" s="1"/>
  <c r="T20" i="7"/>
  <c r="U20" i="7" s="1"/>
  <c r="V20" i="7" s="1"/>
  <c r="U19" i="7"/>
  <c r="V19" i="7" s="1"/>
  <c r="T19" i="7"/>
  <c r="Q19" i="7"/>
  <c r="T18" i="7"/>
  <c r="U18" i="7" s="1"/>
  <c r="V18" i="7" s="1"/>
  <c r="T17" i="7"/>
  <c r="U17" i="7" s="1"/>
  <c r="V17" i="7" s="1"/>
  <c r="T16" i="7"/>
  <c r="U16" i="7" s="1"/>
  <c r="V16" i="7" s="1"/>
  <c r="U15" i="7"/>
  <c r="V15" i="7" s="1"/>
  <c r="T15" i="7"/>
  <c r="Q15" i="7"/>
  <c r="T14" i="7"/>
  <c r="U14" i="7" s="1"/>
  <c r="V14" i="7" s="1"/>
  <c r="T13" i="7"/>
  <c r="U13" i="7" s="1"/>
  <c r="V13" i="7" s="1"/>
  <c r="U12" i="7"/>
  <c r="V12" i="7" s="1"/>
  <c r="T12" i="7"/>
  <c r="Q12" i="7"/>
  <c r="T11" i="7"/>
  <c r="U11" i="7" s="1"/>
  <c r="V11" i="7" s="1"/>
  <c r="T10" i="7"/>
  <c r="U10" i="7" s="1"/>
  <c r="V10" i="7" s="1"/>
  <c r="T9" i="7"/>
  <c r="U9" i="7" s="1"/>
  <c r="V9" i="7" s="1"/>
  <c r="T8" i="7"/>
  <c r="Q8" i="7"/>
  <c r="Q36" i="7" s="1"/>
  <c r="T46" i="6"/>
  <c r="U46" i="6" s="1"/>
  <c r="V46" i="6" s="1"/>
  <c r="T45" i="6"/>
  <c r="U45" i="6" s="1"/>
  <c r="V45" i="6" s="1"/>
  <c r="T44" i="6"/>
  <c r="U44" i="6" s="1"/>
  <c r="V44" i="6" s="1"/>
  <c r="T43" i="6"/>
  <c r="U43" i="6" s="1"/>
  <c r="V43" i="6" s="1"/>
  <c r="T42" i="6"/>
  <c r="U42" i="6" s="1"/>
  <c r="V42" i="6" s="1"/>
  <c r="U41" i="6"/>
  <c r="V41" i="6" s="1"/>
  <c r="T41" i="6"/>
  <c r="Q41" i="6"/>
  <c r="T40" i="6"/>
  <c r="U40" i="6" s="1"/>
  <c r="V40" i="6" s="1"/>
  <c r="T39" i="6"/>
  <c r="U39" i="6" s="1"/>
  <c r="V39" i="6" s="1"/>
  <c r="T38" i="6"/>
  <c r="U38" i="6" s="1"/>
  <c r="V38" i="6" s="1"/>
  <c r="T37" i="6"/>
  <c r="U37" i="6" s="1"/>
  <c r="V37" i="6" s="1"/>
  <c r="U36" i="6"/>
  <c r="V36" i="6" s="1"/>
  <c r="T36" i="6"/>
  <c r="Q36" i="6"/>
  <c r="T35" i="6"/>
  <c r="U35" i="6" s="1"/>
  <c r="V35" i="6" s="1"/>
  <c r="T34" i="6"/>
  <c r="U34" i="6" s="1"/>
  <c r="V34" i="6" s="1"/>
  <c r="T33" i="6"/>
  <c r="U33" i="6" s="1"/>
  <c r="V33" i="6" s="1"/>
  <c r="U32" i="6"/>
  <c r="V32" i="6" s="1"/>
  <c r="T32" i="6"/>
  <c r="Q32" i="6"/>
  <c r="T31" i="6"/>
  <c r="U31" i="6" s="1"/>
  <c r="V31" i="6" s="1"/>
  <c r="T30" i="6"/>
  <c r="U30" i="6" s="1"/>
  <c r="V30" i="6" s="1"/>
  <c r="T29" i="6"/>
  <c r="U29" i="6" s="1"/>
  <c r="V29" i="6" s="1"/>
  <c r="U28" i="6"/>
  <c r="V28" i="6" s="1"/>
  <c r="T28" i="6"/>
  <c r="Q28" i="6"/>
  <c r="T27" i="6"/>
  <c r="U27" i="6" s="1"/>
  <c r="V27" i="6" s="1"/>
  <c r="T26" i="6"/>
  <c r="U26" i="6" s="1"/>
  <c r="V26" i="6" s="1"/>
  <c r="T25" i="6"/>
  <c r="U25" i="6" s="1"/>
  <c r="V25" i="6" s="1"/>
  <c r="U24" i="6"/>
  <c r="V24" i="6" s="1"/>
  <c r="T24" i="6"/>
  <c r="Q24" i="6"/>
  <c r="T23" i="6"/>
  <c r="U23" i="6" s="1"/>
  <c r="V23" i="6" s="1"/>
  <c r="T22" i="6"/>
  <c r="U22" i="6" s="1"/>
  <c r="V22" i="6" s="1"/>
  <c r="T21" i="6"/>
  <c r="U21" i="6" s="1"/>
  <c r="V21" i="6" s="1"/>
  <c r="T20" i="6"/>
  <c r="U20" i="6" s="1"/>
  <c r="V20" i="6" s="1"/>
  <c r="Q20" i="6"/>
  <c r="T19" i="6"/>
  <c r="U19" i="6" s="1"/>
  <c r="V19" i="6" s="1"/>
  <c r="T18" i="6"/>
  <c r="U18" i="6" s="1"/>
  <c r="V18" i="6" s="1"/>
  <c r="T17" i="6"/>
  <c r="U17" i="6" s="1"/>
  <c r="V17" i="6" s="1"/>
  <c r="T16" i="6"/>
  <c r="U16" i="6" s="1"/>
  <c r="V16" i="6" s="1"/>
  <c r="T15" i="6"/>
  <c r="U15" i="6" s="1"/>
  <c r="V15" i="6" s="1"/>
  <c r="U14" i="6"/>
  <c r="V14" i="6" s="1"/>
  <c r="T14" i="6"/>
  <c r="Q14" i="6"/>
  <c r="T13" i="6"/>
  <c r="U13" i="6" s="1"/>
  <c r="V13" i="6" s="1"/>
  <c r="T12" i="6"/>
  <c r="U12" i="6" s="1"/>
  <c r="V12" i="6" s="1"/>
  <c r="T11" i="6"/>
  <c r="U11" i="6" s="1"/>
  <c r="V11" i="6" s="1"/>
  <c r="T10" i="6"/>
  <c r="U10" i="6" s="1"/>
  <c r="V10" i="6" s="1"/>
  <c r="T9" i="6"/>
  <c r="U9" i="6" s="1"/>
  <c r="V9" i="6" s="1"/>
  <c r="T8" i="6"/>
  <c r="Q8" i="6"/>
  <c r="Q47" i="6" s="1"/>
  <c r="T37" i="5"/>
  <c r="U37" i="5" s="1"/>
  <c r="V37" i="5" s="1"/>
  <c r="T36" i="5"/>
  <c r="U36" i="5" s="1"/>
  <c r="V36" i="5" s="1"/>
  <c r="U35" i="5"/>
  <c r="V35" i="5" s="1"/>
  <c r="T35" i="5"/>
  <c r="Q35" i="5"/>
  <c r="T34" i="5"/>
  <c r="U34" i="5" s="1"/>
  <c r="V34" i="5" s="1"/>
  <c r="T33" i="5"/>
  <c r="U33" i="5" s="1"/>
  <c r="V33" i="5" s="1"/>
  <c r="T32" i="5"/>
  <c r="U32" i="5" s="1"/>
  <c r="V32" i="5" s="1"/>
  <c r="T31" i="5"/>
  <c r="U31" i="5" s="1"/>
  <c r="V31" i="5" s="1"/>
  <c r="T30" i="5"/>
  <c r="U30" i="5" s="1"/>
  <c r="V30" i="5" s="1"/>
  <c r="U29" i="5"/>
  <c r="V29" i="5" s="1"/>
  <c r="T29" i="5"/>
  <c r="Q29" i="5"/>
  <c r="T28" i="5"/>
  <c r="U28" i="5" s="1"/>
  <c r="V28" i="5" s="1"/>
  <c r="T27" i="5"/>
  <c r="U27" i="5" s="1"/>
  <c r="V27" i="5" s="1"/>
  <c r="T26" i="5"/>
  <c r="U26" i="5" s="1"/>
  <c r="V26" i="5" s="1"/>
  <c r="U25" i="5"/>
  <c r="V25" i="5" s="1"/>
  <c r="T25" i="5"/>
  <c r="Q25" i="5"/>
  <c r="T24" i="5"/>
  <c r="U24" i="5" s="1"/>
  <c r="V24" i="5" s="1"/>
  <c r="T23" i="5"/>
  <c r="U23" i="5" s="1"/>
  <c r="V23" i="5" s="1"/>
  <c r="T22" i="5"/>
  <c r="U22" i="5" s="1"/>
  <c r="V22" i="5" s="1"/>
  <c r="T21" i="5"/>
  <c r="U21" i="5" s="1"/>
  <c r="V21" i="5" s="1"/>
  <c r="T20" i="5"/>
  <c r="U20" i="5" s="1"/>
  <c r="V20" i="5" s="1"/>
  <c r="T19" i="5"/>
  <c r="U19" i="5" s="1"/>
  <c r="V19" i="5" s="1"/>
  <c r="T18" i="5"/>
  <c r="U18" i="5" s="1"/>
  <c r="V18" i="5" s="1"/>
  <c r="U17" i="5"/>
  <c r="V17" i="5" s="1"/>
  <c r="T17" i="5"/>
  <c r="Q17" i="5"/>
  <c r="T16" i="5"/>
  <c r="U16" i="5" s="1"/>
  <c r="V16" i="5" s="1"/>
  <c r="T15" i="5"/>
  <c r="U15" i="5" s="1"/>
  <c r="V15" i="5" s="1"/>
  <c r="T14" i="5"/>
  <c r="U14" i="5" s="1"/>
  <c r="V14" i="5" s="1"/>
  <c r="T13" i="5"/>
  <c r="U13" i="5" s="1"/>
  <c r="V13" i="5" s="1"/>
  <c r="T12" i="5"/>
  <c r="U12" i="5" s="1"/>
  <c r="V12" i="5" s="1"/>
  <c r="T11" i="5"/>
  <c r="U11" i="5" s="1"/>
  <c r="V11" i="5" s="1"/>
  <c r="T10" i="5"/>
  <c r="U10" i="5" s="1"/>
  <c r="V10" i="5" s="1"/>
  <c r="T9" i="5"/>
  <c r="U9" i="5" s="1"/>
  <c r="V9" i="5" s="1"/>
  <c r="U8" i="5"/>
  <c r="V8" i="5" s="1"/>
  <c r="T8" i="5"/>
  <c r="T38" i="5" s="1"/>
  <c r="U38" i="5" s="1"/>
  <c r="V38" i="5" s="1"/>
  <c r="Q8" i="5"/>
  <c r="Q38" i="5" s="1"/>
  <c r="E240" i="4"/>
  <c r="R238" i="4"/>
  <c r="P238" i="4"/>
  <c r="O238" i="4"/>
  <c r="Q238" i="4" s="1"/>
  <c r="H238" i="4"/>
  <c r="I238" i="4" s="1"/>
  <c r="J238" i="4" s="1"/>
  <c r="P237" i="4"/>
  <c r="O237" i="4"/>
  <c r="Q237" i="4" s="1"/>
  <c r="H237" i="4"/>
  <c r="I237" i="4" s="1"/>
  <c r="J237" i="4" s="1"/>
  <c r="R236" i="4"/>
  <c r="P236" i="4"/>
  <c r="O236" i="4"/>
  <c r="Q236" i="4" s="1"/>
  <c r="H236" i="4"/>
  <c r="I236" i="4" s="1"/>
  <c r="J236" i="4" s="1"/>
  <c r="P235" i="4"/>
  <c r="O235" i="4"/>
  <c r="Q235" i="4" s="1"/>
  <c r="H235" i="4"/>
  <c r="I235" i="4" s="1"/>
  <c r="J235" i="4" s="1"/>
  <c r="R234" i="4"/>
  <c r="P234" i="4"/>
  <c r="O234" i="4"/>
  <c r="Q234" i="4" s="1"/>
  <c r="H234" i="4"/>
  <c r="I234" i="4" s="1"/>
  <c r="J234" i="4" s="1"/>
  <c r="P233" i="4"/>
  <c r="O233" i="4"/>
  <c r="Q233" i="4" s="1"/>
  <c r="H233" i="4"/>
  <c r="I233" i="4" s="1"/>
  <c r="J233" i="4" s="1"/>
  <c r="R232" i="4"/>
  <c r="P232" i="4"/>
  <c r="O232" i="4"/>
  <c r="Q232" i="4" s="1"/>
  <c r="H232" i="4"/>
  <c r="I232" i="4" s="1"/>
  <c r="J232" i="4" s="1"/>
  <c r="P231" i="4"/>
  <c r="O231" i="4"/>
  <c r="Q231" i="4" s="1"/>
  <c r="H231" i="4"/>
  <c r="I231" i="4" s="1"/>
  <c r="J231" i="4" s="1"/>
  <c r="R230" i="4"/>
  <c r="P230" i="4"/>
  <c r="O230" i="4"/>
  <c r="Q230" i="4" s="1"/>
  <c r="H230" i="4"/>
  <c r="I230" i="4" s="1"/>
  <c r="J230" i="4" s="1"/>
  <c r="P229" i="4"/>
  <c r="O229" i="4"/>
  <c r="Q229" i="4" s="1"/>
  <c r="H229" i="4"/>
  <c r="I229" i="4" s="1"/>
  <c r="J229" i="4" s="1"/>
  <c r="R228" i="4"/>
  <c r="P228" i="4"/>
  <c r="O228" i="4"/>
  <c r="Q228" i="4" s="1"/>
  <c r="H228" i="4"/>
  <c r="I228" i="4" s="1"/>
  <c r="J228" i="4" s="1"/>
  <c r="P227" i="4"/>
  <c r="O227" i="4"/>
  <c r="Q227" i="4" s="1"/>
  <c r="H227" i="4"/>
  <c r="I227" i="4" s="1"/>
  <c r="J227" i="4" s="1"/>
  <c r="R226" i="4"/>
  <c r="P226" i="4"/>
  <c r="O226" i="4"/>
  <c r="Q226" i="4" s="1"/>
  <c r="H226" i="4"/>
  <c r="P225" i="4"/>
  <c r="O225" i="4"/>
  <c r="Q225" i="4" s="1"/>
  <c r="R224" i="4"/>
  <c r="P224" i="4"/>
  <c r="O224" i="4"/>
  <c r="Q224" i="4" s="1"/>
  <c r="H224" i="4"/>
  <c r="I224" i="4" s="1"/>
  <c r="J224" i="4" s="1"/>
  <c r="P223" i="4"/>
  <c r="O223" i="4"/>
  <c r="Q223" i="4" s="1"/>
  <c r="H223" i="4"/>
  <c r="I223" i="4" s="1"/>
  <c r="J223" i="4" s="1"/>
  <c r="R222" i="4"/>
  <c r="P222" i="4"/>
  <c r="O222" i="4"/>
  <c r="Q222" i="4" s="1"/>
  <c r="H222" i="4"/>
  <c r="I222" i="4" s="1"/>
  <c r="J222" i="4" s="1"/>
  <c r="R221" i="4"/>
  <c r="P221" i="4"/>
  <c r="O221" i="4"/>
  <c r="Q221" i="4" s="1"/>
  <c r="H221" i="4"/>
  <c r="R220" i="4"/>
  <c r="P220" i="4"/>
  <c r="O220" i="4"/>
  <c r="Q220" i="4" s="1"/>
  <c r="H220" i="4"/>
  <c r="I220" i="4" s="1"/>
  <c r="J220" i="4" s="1"/>
  <c r="P219" i="4"/>
  <c r="O219" i="4"/>
  <c r="Q219" i="4" s="1"/>
  <c r="R218" i="4"/>
  <c r="P218" i="4"/>
  <c r="O218" i="4"/>
  <c r="Q218" i="4" s="1"/>
  <c r="H218" i="4"/>
  <c r="I218" i="4" s="1"/>
  <c r="J218" i="4" s="1"/>
  <c r="P217" i="4"/>
  <c r="O217" i="4"/>
  <c r="Q217" i="4" s="1"/>
  <c r="H217" i="4"/>
  <c r="I217" i="4" s="1"/>
  <c r="J217" i="4" s="1"/>
  <c r="R216" i="4"/>
  <c r="P216" i="4"/>
  <c r="O216" i="4"/>
  <c r="Q216" i="4" s="1"/>
  <c r="H216" i="4"/>
  <c r="I216" i="4" s="1"/>
  <c r="J216" i="4" s="1"/>
  <c r="R215" i="4"/>
  <c r="P215" i="4"/>
  <c r="O215" i="4"/>
  <c r="Q215" i="4" s="1"/>
  <c r="H215" i="4"/>
  <c r="P214" i="4"/>
  <c r="O214" i="4"/>
  <c r="Q214" i="4" s="1"/>
  <c r="R213" i="4"/>
  <c r="P213" i="4"/>
  <c r="O213" i="4"/>
  <c r="Q213" i="4" s="1"/>
  <c r="H213" i="4"/>
  <c r="I213" i="4" s="1"/>
  <c r="J213" i="4" s="1"/>
  <c r="R212" i="4"/>
  <c r="P212" i="4"/>
  <c r="O212" i="4"/>
  <c r="Q212" i="4" s="1"/>
  <c r="H212" i="4"/>
  <c r="I212" i="4" s="1"/>
  <c r="J212" i="4" s="1"/>
  <c r="R211" i="4"/>
  <c r="P211" i="4"/>
  <c r="O211" i="4"/>
  <c r="Q211" i="4" s="1"/>
  <c r="H211" i="4"/>
  <c r="I211" i="4" s="1"/>
  <c r="J211" i="4" s="1"/>
  <c r="P210" i="4"/>
  <c r="O210" i="4"/>
  <c r="Q210" i="4" s="1"/>
  <c r="H210" i="4"/>
  <c r="I210" i="4" s="1"/>
  <c r="J210" i="4" s="1"/>
  <c r="R209" i="4"/>
  <c r="P209" i="4"/>
  <c r="O209" i="4"/>
  <c r="Q209" i="4" s="1"/>
  <c r="H209" i="4"/>
  <c r="I209" i="4" s="1"/>
  <c r="J209" i="4" s="1"/>
  <c r="R208" i="4"/>
  <c r="P208" i="4"/>
  <c r="O208" i="4"/>
  <c r="Q208" i="4" s="1"/>
  <c r="H208" i="4"/>
  <c r="I208" i="4" s="1"/>
  <c r="J208" i="4" s="1"/>
  <c r="P207" i="4"/>
  <c r="O207" i="4"/>
  <c r="Q207" i="4" s="1"/>
  <c r="H207" i="4"/>
  <c r="I207" i="4" s="1"/>
  <c r="J207" i="4" s="1"/>
  <c r="R206" i="4"/>
  <c r="P206" i="4"/>
  <c r="O206" i="4"/>
  <c r="Q206" i="4" s="1"/>
  <c r="H206" i="4"/>
  <c r="I206" i="4" s="1"/>
  <c r="J206" i="4" s="1"/>
  <c r="P205" i="4"/>
  <c r="P239" i="4" s="1"/>
  <c r="O205" i="4"/>
  <c r="H205" i="4"/>
  <c r="R202" i="4"/>
  <c r="P202" i="4"/>
  <c r="O202" i="4"/>
  <c r="Q202" i="4" s="1"/>
  <c r="H202" i="4"/>
  <c r="I202" i="4" s="1"/>
  <c r="J202" i="4" s="1"/>
  <c r="R201" i="4"/>
  <c r="P201" i="4"/>
  <c r="O201" i="4"/>
  <c r="Q201" i="4" s="1"/>
  <c r="H201" i="4"/>
  <c r="I201" i="4" s="1"/>
  <c r="J201" i="4" s="1"/>
  <c r="P200" i="4"/>
  <c r="O200" i="4"/>
  <c r="Q200" i="4" s="1"/>
  <c r="I200" i="4"/>
  <c r="J200" i="4" s="1"/>
  <c r="H200" i="4"/>
  <c r="R199" i="4"/>
  <c r="P199" i="4"/>
  <c r="O199" i="4"/>
  <c r="Q199" i="4" s="1"/>
  <c r="H199" i="4"/>
  <c r="I199" i="4" s="1"/>
  <c r="J199" i="4" s="1"/>
  <c r="R198" i="4"/>
  <c r="P198" i="4"/>
  <c r="O198" i="4"/>
  <c r="Q198" i="4" s="1"/>
  <c r="H198" i="4"/>
  <c r="I198" i="4" s="1"/>
  <c r="J198" i="4" s="1"/>
  <c r="P197" i="4"/>
  <c r="O197" i="4"/>
  <c r="Q197" i="4" s="1"/>
  <c r="H197" i="4"/>
  <c r="I197" i="4" s="1"/>
  <c r="J197" i="4" s="1"/>
  <c r="R196" i="4"/>
  <c r="P196" i="4"/>
  <c r="O196" i="4"/>
  <c r="Q196" i="4" s="1"/>
  <c r="H196" i="4"/>
  <c r="I196" i="4" s="1"/>
  <c r="J196" i="4" s="1"/>
  <c r="R195" i="4"/>
  <c r="P195" i="4"/>
  <c r="O195" i="4"/>
  <c r="Q195" i="4" s="1"/>
  <c r="H195" i="4"/>
  <c r="I195" i="4" s="1"/>
  <c r="J195" i="4" s="1"/>
  <c r="P194" i="4"/>
  <c r="O194" i="4"/>
  <c r="Q194" i="4" s="1"/>
  <c r="H194" i="4"/>
  <c r="I194" i="4" s="1"/>
  <c r="J194" i="4" s="1"/>
  <c r="R193" i="4"/>
  <c r="P193" i="4"/>
  <c r="O193" i="4"/>
  <c r="Q193" i="4" s="1"/>
  <c r="H193" i="4"/>
  <c r="I193" i="4" s="1"/>
  <c r="J193" i="4" s="1"/>
  <c r="R192" i="4"/>
  <c r="P192" i="4"/>
  <c r="O192" i="4"/>
  <c r="Q192" i="4" s="1"/>
  <c r="H192" i="4"/>
  <c r="I192" i="4" s="1"/>
  <c r="J192" i="4" s="1"/>
  <c r="R191" i="4"/>
  <c r="P191" i="4"/>
  <c r="O191" i="4"/>
  <c r="Q191" i="4" s="1"/>
  <c r="H191" i="4"/>
  <c r="I191" i="4" s="1"/>
  <c r="J191" i="4" s="1"/>
  <c r="R190" i="4"/>
  <c r="P190" i="4"/>
  <c r="O190" i="4"/>
  <c r="Q190" i="4" s="1"/>
  <c r="H190" i="4"/>
  <c r="P189" i="4"/>
  <c r="P203" i="4" s="1"/>
  <c r="O189" i="4"/>
  <c r="R186" i="4"/>
  <c r="P186" i="4"/>
  <c r="O186" i="4"/>
  <c r="Q186" i="4" s="1"/>
  <c r="H186" i="4"/>
  <c r="I186" i="4" s="1"/>
  <c r="J186" i="4" s="1"/>
  <c r="R185" i="4"/>
  <c r="P185" i="4"/>
  <c r="O185" i="4"/>
  <c r="Q185" i="4" s="1"/>
  <c r="H185" i="4"/>
  <c r="I185" i="4" s="1"/>
  <c r="J185" i="4" s="1"/>
  <c r="R184" i="4"/>
  <c r="P184" i="4"/>
  <c r="O184" i="4"/>
  <c r="Q184" i="4" s="1"/>
  <c r="H184" i="4"/>
  <c r="P183" i="4"/>
  <c r="O183" i="4"/>
  <c r="Q183" i="4" s="1"/>
  <c r="R182" i="4"/>
  <c r="P182" i="4"/>
  <c r="O182" i="4"/>
  <c r="Q182" i="4" s="1"/>
  <c r="H182" i="4"/>
  <c r="I182" i="4" s="1"/>
  <c r="J182" i="4" s="1"/>
  <c r="P181" i="4"/>
  <c r="O181" i="4"/>
  <c r="Q181" i="4" s="1"/>
  <c r="H181" i="4"/>
  <c r="I181" i="4" s="1"/>
  <c r="J181" i="4" s="1"/>
  <c r="R180" i="4"/>
  <c r="P180" i="4"/>
  <c r="O180" i="4"/>
  <c r="Q180" i="4" s="1"/>
  <c r="H180" i="4"/>
  <c r="I180" i="4" s="1"/>
  <c r="J180" i="4" s="1"/>
  <c r="R179" i="4"/>
  <c r="P179" i="4"/>
  <c r="O179" i="4"/>
  <c r="Q179" i="4" s="1"/>
  <c r="H179" i="4"/>
  <c r="I179" i="4" s="1"/>
  <c r="J179" i="4" s="1"/>
  <c r="P178" i="4"/>
  <c r="O178" i="4"/>
  <c r="Q178" i="4" s="1"/>
  <c r="H178" i="4"/>
  <c r="I178" i="4" s="1"/>
  <c r="J178" i="4" s="1"/>
  <c r="R177" i="4"/>
  <c r="P177" i="4"/>
  <c r="O177" i="4"/>
  <c r="Q177" i="4" s="1"/>
  <c r="H177" i="4"/>
  <c r="I177" i="4" s="1"/>
  <c r="J177" i="4" s="1"/>
  <c r="R176" i="4"/>
  <c r="P176" i="4"/>
  <c r="O176" i="4"/>
  <c r="Q176" i="4" s="1"/>
  <c r="H176" i="4"/>
  <c r="P175" i="4"/>
  <c r="O175" i="4"/>
  <c r="Q175" i="4" s="1"/>
  <c r="R174" i="4"/>
  <c r="P174" i="4"/>
  <c r="O174" i="4"/>
  <c r="Q174" i="4" s="1"/>
  <c r="H174" i="4"/>
  <c r="I174" i="4" s="1"/>
  <c r="J174" i="4" s="1"/>
  <c r="R173" i="4"/>
  <c r="P173" i="4"/>
  <c r="O173" i="4"/>
  <c r="Q173" i="4" s="1"/>
  <c r="H173" i="4"/>
  <c r="I173" i="4" s="1"/>
  <c r="J173" i="4" s="1"/>
  <c r="R172" i="4"/>
  <c r="P172" i="4"/>
  <c r="O172" i="4"/>
  <c r="Q172" i="4" s="1"/>
  <c r="H172" i="4"/>
  <c r="I172" i="4" s="1"/>
  <c r="J172" i="4" s="1"/>
  <c r="R171" i="4"/>
  <c r="P171" i="4"/>
  <c r="O171" i="4"/>
  <c r="Q171" i="4" s="1"/>
  <c r="H171" i="4"/>
  <c r="I171" i="4" s="1"/>
  <c r="J171" i="4" s="1"/>
  <c r="P170" i="4"/>
  <c r="P187" i="4" s="1"/>
  <c r="O170" i="4"/>
  <c r="H170" i="4"/>
  <c r="R167" i="4"/>
  <c r="P167" i="4"/>
  <c r="O167" i="4"/>
  <c r="Q167" i="4" s="1"/>
  <c r="H167" i="4"/>
  <c r="I167" i="4" s="1"/>
  <c r="J167" i="4" s="1"/>
  <c r="R166" i="4"/>
  <c r="P166" i="4"/>
  <c r="O166" i="4"/>
  <c r="Q166" i="4" s="1"/>
  <c r="H166" i="4"/>
  <c r="I166" i="4" s="1"/>
  <c r="J166" i="4" s="1"/>
  <c r="R165" i="4"/>
  <c r="P165" i="4"/>
  <c r="O165" i="4"/>
  <c r="Q165" i="4" s="1"/>
  <c r="H165" i="4"/>
  <c r="I165" i="4" s="1"/>
  <c r="J165" i="4" s="1"/>
  <c r="R164" i="4"/>
  <c r="P164" i="4"/>
  <c r="O164" i="4"/>
  <c r="Q164" i="4" s="1"/>
  <c r="H164" i="4"/>
  <c r="R163" i="4"/>
  <c r="P163" i="4"/>
  <c r="P160" i="4" s="1"/>
  <c r="O163" i="4"/>
  <c r="H163" i="4"/>
  <c r="I163" i="4" s="1"/>
  <c r="J163" i="4" s="1"/>
  <c r="R162" i="4"/>
  <c r="P162" i="4"/>
  <c r="O162" i="4"/>
  <c r="Q162" i="4" s="1"/>
  <c r="H162" i="4"/>
  <c r="I162" i="4" s="1"/>
  <c r="J162" i="4" s="1"/>
  <c r="R161" i="4"/>
  <c r="P161" i="4"/>
  <c r="O161" i="4"/>
  <c r="Q161" i="4" s="1"/>
  <c r="H161" i="4"/>
  <c r="I161" i="4" s="1"/>
  <c r="J161" i="4" s="1"/>
  <c r="R159" i="4"/>
  <c r="P159" i="4"/>
  <c r="O159" i="4"/>
  <c r="Q159" i="4" s="1"/>
  <c r="H159" i="4"/>
  <c r="I159" i="4" s="1"/>
  <c r="J159" i="4" s="1"/>
  <c r="R158" i="4"/>
  <c r="P158" i="4"/>
  <c r="O158" i="4"/>
  <c r="Q158" i="4" s="1"/>
  <c r="H158" i="4"/>
  <c r="I158" i="4" s="1"/>
  <c r="J158" i="4" s="1"/>
  <c r="R157" i="4"/>
  <c r="P157" i="4"/>
  <c r="O157" i="4"/>
  <c r="Q157" i="4" s="1"/>
  <c r="H157" i="4"/>
  <c r="I157" i="4" s="1"/>
  <c r="J157" i="4" s="1"/>
  <c r="R156" i="4"/>
  <c r="P156" i="4"/>
  <c r="O156" i="4"/>
  <c r="Q156" i="4" s="1"/>
  <c r="H156" i="4"/>
  <c r="I156" i="4" s="1"/>
  <c r="J156" i="4" s="1"/>
  <c r="R155" i="4"/>
  <c r="P155" i="4"/>
  <c r="O155" i="4"/>
  <c r="Q155" i="4" s="1"/>
  <c r="H155" i="4"/>
  <c r="I155" i="4" s="1"/>
  <c r="J155" i="4" s="1"/>
  <c r="R154" i="4"/>
  <c r="P154" i="4"/>
  <c r="O154" i="4"/>
  <c r="Q154" i="4" s="1"/>
  <c r="H154" i="4"/>
  <c r="I154" i="4" s="1"/>
  <c r="J154" i="4" s="1"/>
  <c r="R153" i="4"/>
  <c r="P153" i="4"/>
  <c r="O153" i="4"/>
  <c r="Q153" i="4" s="1"/>
  <c r="H153" i="4"/>
  <c r="I153" i="4" s="1"/>
  <c r="J153" i="4" s="1"/>
  <c r="R152" i="4"/>
  <c r="P152" i="4"/>
  <c r="O152" i="4"/>
  <c r="Q152" i="4" s="1"/>
  <c r="H152" i="4"/>
  <c r="P151" i="4"/>
  <c r="P168" i="4" s="1"/>
  <c r="O151" i="4"/>
  <c r="R148" i="4"/>
  <c r="P148" i="4"/>
  <c r="O148" i="4"/>
  <c r="Q148" i="4" s="1"/>
  <c r="H148" i="4"/>
  <c r="P147" i="4"/>
  <c r="O147" i="4"/>
  <c r="Q147" i="4" s="1"/>
  <c r="R146" i="4"/>
  <c r="P146" i="4"/>
  <c r="O146" i="4"/>
  <c r="Q146" i="4" s="1"/>
  <c r="H146" i="4"/>
  <c r="P145" i="4"/>
  <c r="O145" i="4"/>
  <c r="Q145" i="4" s="1"/>
  <c r="R144" i="4"/>
  <c r="P144" i="4"/>
  <c r="O144" i="4"/>
  <c r="Q144" i="4" s="1"/>
  <c r="H144" i="4"/>
  <c r="I144" i="4" s="1"/>
  <c r="J144" i="4" s="1"/>
  <c r="R143" i="4"/>
  <c r="P143" i="4"/>
  <c r="O143" i="4"/>
  <c r="Q143" i="4" s="1"/>
  <c r="H143" i="4"/>
  <c r="I143" i="4" s="1"/>
  <c r="J143" i="4" s="1"/>
  <c r="R142" i="4"/>
  <c r="P142" i="4"/>
  <c r="O142" i="4"/>
  <c r="Q142" i="4" s="1"/>
  <c r="H142" i="4"/>
  <c r="I142" i="4" s="1"/>
  <c r="J142" i="4" s="1"/>
  <c r="P141" i="4"/>
  <c r="O141" i="4"/>
  <c r="Q141" i="4" s="1"/>
  <c r="H141" i="4"/>
  <c r="I141" i="4" s="1"/>
  <c r="J141" i="4" s="1"/>
  <c r="R140" i="4"/>
  <c r="P140" i="4"/>
  <c r="O140" i="4"/>
  <c r="Q140" i="4" s="1"/>
  <c r="H140" i="4"/>
  <c r="I140" i="4" s="1"/>
  <c r="J140" i="4" s="1"/>
  <c r="R139" i="4"/>
  <c r="P139" i="4"/>
  <c r="O139" i="4"/>
  <c r="Q139" i="4" s="1"/>
  <c r="H139" i="4"/>
  <c r="P138" i="4"/>
  <c r="O138" i="4"/>
  <c r="Q138" i="4" s="1"/>
  <c r="R137" i="4"/>
  <c r="P137" i="4"/>
  <c r="O137" i="4"/>
  <c r="Q137" i="4" s="1"/>
  <c r="H137" i="4"/>
  <c r="P136" i="4"/>
  <c r="P149" i="4" s="1"/>
  <c r="O136" i="4"/>
  <c r="R133" i="4"/>
  <c r="P133" i="4"/>
  <c r="O133" i="4"/>
  <c r="Q133" i="4" s="1"/>
  <c r="H133" i="4"/>
  <c r="I133" i="4" s="1"/>
  <c r="J133" i="4" s="1"/>
  <c r="R132" i="4"/>
  <c r="Q132" i="4"/>
  <c r="P132" i="4"/>
  <c r="O132" i="4"/>
  <c r="H132" i="4"/>
  <c r="I132" i="4" s="1"/>
  <c r="J132" i="4" s="1"/>
  <c r="R131" i="4"/>
  <c r="P131" i="4"/>
  <c r="O131" i="4"/>
  <c r="Q131" i="4" s="1"/>
  <c r="H131" i="4"/>
  <c r="I131" i="4" s="1"/>
  <c r="J131" i="4" s="1"/>
  <c r="R130" i="4"/>
  <c r="P130" i="4"/>
  <c r="O130" i="4"/>
  <c r="Q130" i="4" s="1"/>
  <c r="H130" i="4"/>
  <c r="I130" i="4" s="1"/>
  <c r="J130" i="4" s="1"/>
  <c r="R129" i="4"/>
  <c r="P129" i="4"/>
  <c r="O129" i="4"/>
  <c r="Q129" i="4" s="1"/>
  <c r="H129" i="4"/>
  <c r="I129" i="4" s="1"/>
  <c r="J129" i="4" s="1"/>
  <c r="P128" i="4"/>
  <c r="O128" i="4"/>
  <c r="Q128" i="4" s="1"/>
  <c r="H128" i="4"/>
  <c r="I128" i="4" s="1"/>
  <c r="J128" i="4" s="1"/>
  <c r="R127" i="4"/>
  <c r="P127" i="4"/>
  <c r="O127" i="4"/>
  <c r="Q127" i="4" s="1"/>
  <c r="H127" i="4"/>
  <c r="I127" i="4" s="1"/>
  <c r="J127" i="4" s="1"/>
  <c r="R126" i="4"/>
  <c r="P126" i="4"/>
  <c r="O126" i="4"/>
  <c r="Q126" i="4" s="1"/>
  <c r="H126" i="4"/>
  <c r="I126" i="4" s="1"/>
  <c r="J126" i="4" s="1"/>
  <c r="R125" i="4"/>
  <c r="P125" i="4"/>
  <c r="O125" i="4"/>
  <c r="Q125" i="4" s="1"/>
  <c r="H125" i="4"/>
  <c r="I125" i="4" s="1"/>
  <c r="J125" i="4" s="1"/>
  <c r="R124" i="4"/>
  <c r="P124" i="4"/>
  <c r="O124" i="4"/>
  <c r="Q124" i="4" s="1"/>
  <c r="H124" i="4"/>
  <c r="P123" i="4"/>
  <c r="O123" i="4"/>
  <c r="Q123" i="4" s="1"/>
  <c r="R122" i="4"/>
  <c r="Q122" i="4"/>
  <c r="P122" i="4"/>
  <c r="O122" i="4"/>
  <c r="H122" i="4"/>
  <c r="I122" i="4" s="1"/>
  <c r="J122" i="4" s="1"/>
  <c r="R121" i="4"/>
  <c r="P121" i="4"/>
  <c r="O121" i="4"/>
  <c r="Q121" i="4" s="1"/>
  <c r="H121" i="4"/>
  <c r="I121" i="4" s="1"/>
  <c r="J121" i="4" s="1"/>
  <c r="P120" i="4"/>
  <c r="O120" i="4"/>
  <c r="Q120" i="4" s="1"/>
  <c r="H120" i="4"/>
  <c r="I120" i="4" s="1"/>
  <c r="J120" i="4" s="1"/>
  <c r="R119" i="4"/>
  <c r="P119" i="4"/>
  <c r="O119" i="4"/>
  <c r="Q119" i="4" s="1"/>
  <c r="H119" i="4"/>
  <c r="I119" i="4" s="1"/>
  <c r="J119" i="4" s="1"/>
  <c r="R118" i="4"/>
  <c r="P118" i="4"/>
  <c r="O118" i="4"/>
  <c r="Q118" i="4" s="1"/>
  <c r="H118" i="4"/>
  <c r="I118" i="4" s="1"/>
  <c r="J118" i="4" s="1"/>
  <c r="P117" i="4"/>
  <c r="O117" i="4"/>
  <c r="Q117" i="4" s="1"/>
  <c r="H117" i="4"/>
  <c r="I117" i="4" s="1"/>
  <c r="J117" i="4" s="1"/>
  <c r="R116" i="4"/>
  <c r="P116" i="4"/>
  <c r="O116" i="4"/>
  <c r="Q116" i="4" s="1"/>
  <c r="H116" i="4"/>
  <c r="I116" i="4" s="1"/>
  <c r="J116" i="4" s="1"/>
  <c r="R115" i="4"/>
  <c r="P115" i="4"/>
  <c r="O115" i="4"/>
  <c r="Q115" i="4" s="1"/>
  <c r="H115" i="4"/>
  <c r="I115" i="4" s="1"/>
  <c r="J115" i="4" s="1"/>
  <c r="P114" i="4"/>
  <c r="O114" i="4"/>
  <c r="Q114" i="4" s="1"/>
  <c r="H114" i="4"/>
  <c r="I114" i="4" s="1"/>
  <c r="J114" i="4" s="1"/>
  <c r="R113" i="4"/>
  <c r="P113" i="4"/>
  <c r="O113" i="4"/>
  <c r="Q113" i="4" s="1"/>
  <c r="H113" i="4"/>
  <c r="I113" i="4" s="1"/>
  <c r="J113" i="4" s="1"/>
  <c r="R112" i="4"/>
  <c r="P112" i="4"/>
  <c r="O112" i="4"/>
  <c r="Q112" i="4" s="1"/>
  <c r="H112" i="4"/>
  <c r="P111" i="4"/>
  <c r="O111" i="4"/>
  <c r="Q111" i="4" s="1"/>
  <c r="R110" i="4"/>
  <c r="P110" i="4"/>
  <c r="O110" i="4"/>
  <c r="Q110" i="4" s="1"/>
  <c r="H110" i="4"/>
  <c r="P109" i="4"/>
  <c r="P134" i="4" s="1"/>
  <c r="O109" i="4"/>
  <c r="R106" i="4"/>
  <c r="P106" i="4"/>
  <c r="O106" i="4"/>
  <c r="Q106" i="4" s="1"/>
  <c r="H106" i="4"/>
  <c r="R105" i="4"/>
  <c r="P105" i="4"/>
  <c r="O105" i="4"/>
  <c r="Q105" i="4" s="1"/>
  <c r="H105" i="4"/>
  <c r="I105" i="4" s="1"/>
  <c r="J105" i="4" s="1"/>
  <c r="P104" i="4"/>
  <c r="O104" i="4"/>
  <c r="Q104" i="4" s="1"/>
  <c r="R103" i="4"/>
  <c r="P103" i="4"/>
  <c r="O103" i="4"/>
  <c r="Q103" i="4" s="1"/>
  <c r="H103" i="4"/>
  <c r="I103" i="4" s="1"/>
  <c r="J103" i="4" s="1"/>
  <c r="R102" i="4"/>
  <c r="P102" i="4"/>
  <c r="O102" i="4"/>
  <c r="Q102" i="4" s="1"/>
  <c r="H102" i="4"/>
  <c r="I102" i="4" s="1"/>
  <c r="J102" i="4" s="1"/>
  <c r="R101" i="4"/>
  <c r="P101" i="4"/>
  <c r="O101" i="4"/>
  <c r="Q101" i="4" s="1"/>
  <c r="H101" i="4"/>
  <c r="P100" i="4"/>
  <c r="O100" i="4"/>
  <c r="Q100" i="4" s="1"/>
  <c r="R99" i="4"/>
  <c r="P99" i="4"/>
  <c r="O99" i="4"/>
  <c r="Q99" i="4" s="1"/>
  <c r="H99" i="4"/>
  <c r="I99" i="4" s="1"/>
  <c r="J99" i="4" s="1"/>
  <c r="R98" i="4"/>
  <c r="Q98" i="4"/>
  <c r="P98" i="4"/>
  <c r="O98" i="4"/>
  <c r="H98" i="4"/>
  <c r="I98" i="4" s="1"/>
  <c r="J98" i="4" s="1"/>
  <c r="P97" i="4"/>
  <c r="O97" i="4"/>
  <c r="Q97" i="4" s="1"/>
  <c r="H97" i="4"/>
  <c r="I97" i="4" s="1"/>
  <c r="J97" i="4" s="1"/>
  <c r="R96" i="4"/>
  <c r="P96" i="4"/>
  <c r="O96" i="4"/>
  <c r="Q96" i="4" s="1"/>
  <c r="H96" i="4"/>
  <c r="I96" i="4" s="1"/>
  <c r="J96" i="4" s="1"/>
  <c r="R95" i="4"/>
  <c r="P95" i="4"/>
  <c r="O95" i="4"/>
  <c r="Q95" i="4" s="1"/>
  <c r="H95" i="4"/>
  <c r="I95" i="4" s="1"/>
  <c r="J95" i="4" s="1"/>
  <c r="R94" i="4"/>
  <c r="P94" i="4"/>
  <c r="O94" i="4"/>
  <c r="Q94" i="4" s="1"/>
  <c r="H94" i="4"/>
  <c r="P93" i="4"/>
  <c r="O93" i="4"/>
  <c r="Q93" i="4" s="1"/>
  <c r="R92" i="4"/>
  <c r="P92" i="4"/>
  <c r="O92" i="4"/>
  <c r="Q92" i="4" s="1"/>
  <c r="H92" i="4"/>
  <c r="I92" i="4" s="1"/>
  <c r="J92" i="4" s="1"/>
  <c r="R91" i="4"/>
  <c r="P91" i="4"/>
  <c r="O91" i="4"/>
  <c r="Q91" i="4" s="1"/>
  <c r="H91" i="4"/>
  <c r="P90" i="4"/>
  <c r="O90" i="4"/>
  <c r="Q90" i="4" s="1"/>
  <c r="R89" i="4"/>
  <c r="P89" i="4"/>
  <c r="O89" i="4"/>
  <c r="Q89" i="4" s="1"/>
  <c r="H89" i="4"/>
  <c r="I89" i="4" s="1"/>
  <c r="J89" i="4" s="1"/>
  <c r="R88" i="4"/>
  <c r="P88" i="4"/>
  <c r="O88" i="4"/>
  <c r="Q88" i="4" s="1"/>
  <c r="H88" i="4"/>
  <c r="R87" i="4"/>
  <c r="P87" i="4"/>
  <c r="P86" i="4" s="1"/>
  <c r="P107" i="4" s="1"/>
  <c r="O87" i="4"/>
  <c r="H87" i="4"/>
  <c r="I87" i="4" s="1"/>
  <c r="J87" i="4" s="1"/>
  <c r="R85" i="4"/>
  <c r="P85" i="4"/>
  <c r="O85" i="4"/>
  <c r="Q85" i="4" s="1"/>
  <c r="H85" i="4"/>
  <c r="I85" i="4" s="1"/>
  <c r="J85" i="4" s="1"/>
  <c r="R84" i="4"/>
  <c r="P84" i="4"/>
  <c r="O84" i="4"/>
  <c r="Q84" i="4" s="1"/>
  <c r="H84" i="4"/>
  <c r="I84" i="4" s="1"/>
  <c r="J84" i="4" s="1"/>
  <c r="P83" i="4"/>
  <c r="O83" i="4"/>
  <c r="Q83" i="4" s="1"/>
  <c r="H83" i="4"/>
  <c r="I83" i="4" s="1"/>
  <c r="J83" i="4" s="1"/>
  <c r="R82" i="4"/>
  <c r="P82" i="4"/>
  <c r="O82" i="4"/>
  <c r="Q82" i="4" s="1"/>
  <c r="H82" i="4"/>
  <c r="I82" i="4" s="1"/>
  <c r="J82" i="4" s="1"/>
  <c r="R81" i="4"/>
  <c r="P81" i="4"/>
  <c r="O81" i="4"/>
  <c r="Q81" i="4" s="1"/>
  <c r="H81" i="4"/>
  <c r="I81" i="4" s="1"/>
  <c r="J81" i="4" s="1"/>
  <c r="R80" i="4"/>
  <c r="P80" i="4"/>
  <c r="O80" i="4"/>
  <c r="Q80" i="4" s="1"/>
  <c r="H80" i="4"/>
  <c r="I80" i="4" s="1"/>
  <c r="J80" i="4" s="1"/>
  <c r="P79" i="4"/>
  <c r="O79" i="4"/>
  <c r="Q79" i="4" s="1"/>
  <c r="H79" i="4"/>
  <c r="I79" i="4" s="1"/>
  <c r="J79" i="4" s="1"/>
  <c r="G77" i="4"/>
  <c r="F77" i="4"/>
  <c r="R76" i="4"/>
  <c r="P76" i="4"/>
  <c r="O76" i="4"/>
  <c r="Q76" i="4" s="1"/>
  <c r="G76" i="4"/>
  <c r="H76" i="4" s="1"/>
  <c r="I76" i="4" s="1"/>
  <c r="J76" i="4" s="1"/>
  <c r="F76" i="4"/>
  <c r="R75" i="4"/>
  <c r="P75" i="4"/>
  <c r="O75" i="4"/>
  <c r="Q75" i="4" s="1"/>
  <c r="G75" i="4"/>
  <c r="H75" i="4" s="1"/>
  <c r="I75" i="4" s="1"/>
  <c r="J75" i="4" s="1"/>
  <c r="F75" i="4"/>
  <c r="R74" i="4"/>
  <c r="P74" i="4"/>
  <c r="O74" i="4"/>
  <c r="Q74" i="4" s="1"/>
  <c r="G74" i="4"/>
  <c r="H74" i="4" s="1"/>
  <c r="I74" i="4" s="1"/>
  <c r="J74" i="4" s="1"/>
  <c r="F74" i="4"/>
  <c r="R73" i="4"/>
  <c r="P73" i="4"/>
  <c r="O73" i="4"/>
  <c r="Q73" i="4" s="1"/>
  <c r="G73" i="4"/>
  <c r="H73" i="4" s="1"/>
  <c r="I73" i="4" s="1"/>
  <c r="J73" i="4" s="1"/>
  <c r="F73" i="4"/>
  <c r="R72" i="4"/>
  <c r="P72" i="4"/>
  <c r="O72" i="4"/>
  <c r="Q72" i="4" s="1"/>
  <c r="G72" i="4"/>
  <c r="H72" i="4" s="1"/>
  <c r="F72" i="4"/>
  <c r="P71" i="4"/>
  <c r="O71" i="4"/>
  <c r="Q71" i="4" s="1"/>
  <c r="G71" i="4"/>
  <c r="F71" i="4"/>
  <c r="R70" i="4"/>
  <c r="P70" i="4"/>
  <c r="O70" i="4"/>
  <c r="Q70" i="4" s="1"/>
  <c r="G70" i="4"/>
  <c r="H70" i="4" s="1"/>
  <c r="I70" i="4" s="1"/>
  <c r="J70" i="4" s="1"/>
  <c r="F70" i="4"/>
  <c r="R69" i="4"/>
  <c r="P69" i="4"/>
  <c r="O69" i="4"/>
  <c r="Q69" i="4" s="1"/>
  <c r="G69" i="4"/>
  <c r="H69" i="4" s="1"/>
  <c r="I69" i="4" s="1"/>
  <c r="J69" i="4" s="1"/>
  <c r="F69" i="4"/>
  <c r="R68" i="4"/>
  <c r="P68" i="4"/>
  <c r="O68" i="4"/>
  <c r="Q68" i="4" s="1"/>
  <c r="G68" i="4"/>
  <c r="H68" i="4" s="1"/>
  <c r="I68" i="4" s="1"/>
  <c r="J68" i="4" s="1"/>
  <c r="F68" i="4"/>
  <c r="R67" i="4"/>
  <c r="P67" i="4"/>
  <c r="O67" i="4"/>
  <c r="Q67" i="4" s="1"/>
  <c r="G67" i="4"/>
  <c r="H67" i="4" s="1"/>
  <c r="F67" i="4"/>
  <c r="P66" i="4"/>
  <c r="O66" i="4"/>
  <c r="Q66" i="4" s="1"/>
  <c r="G66" i="4"/>
  <c r="F66" i="4"/>
  <c r="R65" i="4"/>
  <c r="P65" i="4"/>
  <c r="O65" i="4"/>
  <c r="Q65" i="4" s="1"/>
  <c r="G65" i="4"/>
  <c r="H65" i="4" s="1"/>
  <c r="I65" i="4" s="1"/>
  <c r="J65" i="4" s="1"/>
  <c r="F65" i="4"/>
  <c r="R64" i="4"/>
  <c r="P64" i="4"/>
  <c r="O64" i="4"/>
  <c r="Q64" i="4" s="1"/>
  <c r="G64" i="4"/>
  <c r="H64" i="4" s="1"/>
  <c r="I64" i="4" s="1"/>
  <c r="J64" i="4" s="1"/>
  <c r="F64" i="4"/>
  <c r="R63" i="4"/>
  <c r="P63" i="4"/>
  <c r="O63" i="4"/>
  <c r="Q63" i="4" s="1"/>
  <c r="G63" i="4"/>
  <c r="H63" i="4" s="1"/>
  <c r="F63" i="4"/>
  <c r="P62" i="4"/>
  <c r="O62" i="4"/>
  <c r="Q62" i="4" s="1"/>
  <c r="G62" i="4"/>
  <c r="F62" i="4"/>
  <c r="R61" i="4"/>
  <c r="P61" i="4"/>
  <c r="O61" i="4"/>
  <c r="Q61" i="4" s="1"/>
  <c r="G61" i="4"/>
  <c r="H61" i="4" s="1"/>
  <c r="I61" i="4" s="1"/>
  <c r="J61" i="4" s="1"/>
  <c r="F61" i="4"/>
  <c r="R60" i="4"/>
  <c r="P60" i="4"/>
  <c r="O60" i="4"/>
  <c r="Q60" i="4" s="1"/>
  <c r="G60" i="4"/>
  <c r="H60" i="4" s="1"/>
  <c r="I60" i="4" s="1"/>
  <c r="J60" i="4" s="1"/>
  <c r="F60" i="4"/>
  <c r="R59" i="4"/>
  <c r="P59" i="4"/>
  <c r="O59" i="4"/>
  <c r="Q59" i="4" s="1"/>
  <c r="G59" i="4"/>
  <c r="H59" i="4" s="1"/>
  <c r="F59" i="4"/>
  <c r="P58" i="4"/>
  <c r="O58" i="4"/>
  <c r="Q58" i="4" s="1"/>
  <c r="G58" i="4"/>
  <c r="F58" i="4"/>
  <c r="R57" i="4"/>
  <c r="P57" i="4"/>
  <c r="O57" i="4"/>
  <c r="Q57" i="4" s="1"/>
  <c r="G57" i="4"/>
  <c r="H57" i="4" s="1"/>
  <c r="I57" i="4" s="1"/>
  <c r="J57" i="4" s="1"/>
  <c r="F57" i="4"/>
  <c r="R56" i="4"/>
  <c r="P56" i="4"/>
  <c r="O56" i="4"/>
  <c r="Q56" i="4" s="1"/>
  <c r="G56" i="4"/>
  <c r="H56" i="4" s="1"/>
  <c r="I56" i="4" s="1"/>
  <c r="J56" i="4" s="1"/>
  <c r="F56" i="4"/>
  <c r="R55" i="4"/>
  <c r="P55" i="4"/>
  <c r="O55" i="4"/>
  <c r="Q55" i="4" s="1"/>
  <c r="G55" i="4"/>
  <c r="H55" i="4" s="1"/>
  <c r="F55" i="4"/>
  <c r="P54" i="4"/>
  <c r="O54" i="4"/>
  <c r="Q54" i="4" s="1"/>
  <c r="G54" i="4"/>
  <c r="F54" i="4"/>
  <c r="R53" i="4"/>
  <c r="P53" i="4"/>
  <c r="O53" i="4"/>
  <c r="Q53" i="4" s="1"/>
  <c r="G53" i="4"/>
  <c r="H53" i="4" s="1"/>
  <c r="I53" i="4" s="1"/>
  <c r="J53" i="4" s="1"/>
  <c r="F53" i="4"/>
  <c r="R52" i="4"/>
  <c r="P52" i="4"/>
  <c r="O52" i="4"/>
  <c r="Q52" i="4" s="1"/>
  <c r="G52" i="4"/>
  <c r="H52" i="4" s="1"/>
  <c r="I52" i="4" s="1"/>
  <c r="J52" i="4" s="1"/>
  <c r="F52" i="4"/>
  <c r="R51" i="4"/>
  <c r="P51" i="4"/>
  <c r="O51" i="4"/>
  <c r="Q51" i="4" s="1"/>
  <c r="G51" i="4"/>
  <c r="H51" i="4" s="1"/>
  <c r="F51" i="4"/>
  <c r="P50" i="4"/>
  <c r="O50" i="4"/>
  <c r="Q50" i="4" s="1"/>
  <c r="G50" i="4"/>
  <c r="F50" i="4"/>
  <c r="R49" i="4"/>
  <c r="P49" i="4"/>
  <c r="O49" i="4"/>
  <c r="Q49" i="4" s="1"/>
  <c r="G49" i="4"/>
  <c r="H49" i="4" s="1"/>
  <c r="I49" i="4" s="1"/>
  <c r="J49" i="4" s="1"/>
  <c r="F49" i="4"/>
  <c r="R48" i="4"/>
  <c r="P48" i="4"/>
  <c r="O48" i="4"/>
  <c r="Q48" i="4" s="1"/>
  <c r="G48" i="4"/>
  <c r="H48" i="4" s="1"/>
  <c r="I48" i="4" s="1"/>
  <c r="J48" i="4" s="1"/>
  <c r="F48" i="4"/>
  <c r="R47" i="4"/>
  <c r="P47" i="4"/>
  <c r="O47" i="4"/>
  <c r="Q47" i="4" s="1"/>
  <c r="G47" i="4"/>
  <c r="H47" i="4" s="1"/>
  <c r="I47" i="4" s="1"/>
  <c r="J47" i="4" s="1"/>
  <c r="F47" i="4"/>
  <c r="R46" i="4"/>
  <c r="P46" i="4"/>
  <c r="O46" i="4"/>
  <c r="Q46" i="4" s="1"/>
  <c r="G46" i="4"/>
  <c r="H46" i="4" s="1"/>
  <c r="I46" i="4" s="1"/>
  <c r="J46" i="4" s="1"/>
  <c r="F46" i="4"/>
  <c r="R45" i="4"/>
  <c r="P45" i="4"/>
  <c r="O45" i="4"/>
  <c r="Q45" i="4" s="1"/>
  <c r="G45" i="4"/>
  <c r="H45" i="4" s="1"/>
  <c r="F45" i="4"/>
  <c r="P44" i="4"/>
  <c r="O44" i="4"/>
  <c r="Q44" i="4" s="1"/>
  <c r="G44" i="4"/>
  <c r="F44" i="4"/>
  <c r="R43" i="4"/>
  <c r="P43" i="4"/>
  <c r="O43" i="4"/>
  <c r="Q43" i="4" s="1"/>
  <c r="G43" i="4"/>
  <c r="H43" i="4" s="1"/>
  <c r="I43" i="4" s="1"/>
  <c r="J43" i="4" s="1"/>
  <c r="F43" i="4"/>
  <c r="R42" i="4"/>
  <c r="P42" i="4"/>
  <c r="O42" i="4"/>
  <c r="Q42" i="4" s="1"/>
  <c r="G42" i="4"/>
  <c r="H42" i="4" s="1"/>
  <c r="I42" i="4" s="1"/>
  <c r="J42" i="4" s="1"/>
  <c r="F42" i="4"/>
  <c r="R41" i="4"/>
  <c r="P41" i="4"/>
  <c r="O41" i="4"/>
  <c r="Q41" i="4" s="1"/>
  <c r="G41" i="4"/>
  <c r="H41" i="4" s="1"/>
  <c r="I41" i="4" s="1"/>
  <c r="J41" i="4" s="1"/>
  <c r="F41" i="4"/>
  <c r="R40" i="4"/>
  <c r="P40" i="4"/>
  <c r="O40" i="4"/>
  <c r="Q40" i="4" s="1"/>
  <c r="G40" i="4"/>
  <c r="H40" i="4" s="1"/>
  <c r="I40" i="4" s="1"/>
  <c r="J40" i="4" s="1"/>
  <c r="F40" i="4"/>
  <c r="R39" i="4"/>
  <c r="P39" i="4"/>
  <c r="O39" i="4"/>
  <c r="Q39" i="4" s="1"/>
  <c r="G39" i="4"/>
  <c r="H39" i="4" s="1"/>
  <c r="F39" i="4"/>
  <c r="P38" i="4"/>
  <c r="P77" i="4" s="1"/>
  <c r="O38" i="4"/>
  <c r="G38" i="4"/>
  <c r="F38" i="4"/>
  <c r="R35" i="4"/>
  <c r="P35" i="4"/>
  <c r="O35" i="4"/>
  <c r="Q35" i="4" s="1"/>
  <c r="H35" i="4"/>
  <c r="I35" i="4" s="1"/>
  <c r="J35" i="4" s="1"/>
  <c r="R34" i="4"/>
  <c r="P34" i="4"/>
  <c r="O34" i="4"/>
  <c r="Q34" i="4" s="1"/>
  <c r="H34" i="4"/>
  <c r="I34" i="4" s="1"/>
  <c r="J34" i="4" s="1"/>
  <c r="P33" i="4"/>
  <c r="O33" i="4"/>
  <c r="Q33" i="4" s="1"/>
  <c r="H33" i="4"/>
  <c r="I33" i="4" s="1"/>
  <c r="J33" i="4" s="1"/>
  <c r="R32" i="4"/>
  <c r="P32" i="4"/>
  <c r="O32" i="4"/>
  <c r="Q32" i="4" s="1"/>
  <c r="H32" i="4"/>
  <c r="I32" i="4" s="1"/>
  <c r="J32" i="4" s="1"/>
  <c r="R31" i="4"/>
  <c r="P31" i="4"/>
  <c r="O31" i="4"/>
  <c r="Q31" i="4" s="1"/>
  <c r="H31" i="4"/>
  <c r="I31" i="4" s="1"/>
  <c r="J31" i="4" s="1"/>
  <c r="R30" i="4"/>
  <c r="P30" i="4"/>
  <c r="O30" i="4"/>
  <c r="Q30" i="4" s="1"/>
  <c r="H30" i="4"/>
  <c r="I30" i="4" s="1"/>
  <c r="J30" i="4" s="1"/>
  <c r="R29" i="4"/>
  <c r="P29" i="4"/>
  <c r="O29" i="4"/>
  <c r="Q29" i="4" s="1"/>
  <c r="H29" i="4"/>
  <c r="I29" i="4" s="1"/>
  <c r="J29" i="4" s="1"/>
  <c r="R28" i="4"/>
  <c r="P28" i="4"/>
  <c r="O28" i="4"/>
  <c r="Q28" i="4" s="1"/>
  <c r="H28" i="4"/>
  <c r="I28" i="4" s="1"/>
  <c r="J28" i="4" s="1"/>
  <c r="P27" i="4"/>
  <c r="O27" i="4"/>
  <c r="Q27" i="4" s="1"/>
  <c r="H27" i="4"/>
  <c r="I27" i="4" s="1"/>
  <c r="J27" i="4" s="1"/>
  <c r="R26" i="4"/>
  <c r="P26" i="4"/>
  <c r="O26" i="4"/>
  <c r="Q26" i="4" s="1"/>
  <c r="H26" i="4"/>
  <c r="I26" i="4" s="1"/>
  <c r="J26" i="4" s="1"/>
  <c r="R25" i="4"/>
  <c r="P25" i="4"/>
  <c r="O25" i="4"/>
  <c r="Q25" i="4" s="1"/>
  <c r="H25" i="4"/>
  <c r="I25" i="4" s="1"/>
  <c r="J25" i="4" s="1"/>
  <c r="R24" i="4"/>
  <c r="P24" i="4"/>
  <c r="O24" i="4"/>
  <c r="Q24" i="4" s="1"/>
  <c r="H24" i="4"/>
  <c r="I24" i="4" s="1"/>
  <c r="J24" i="4" s="1"/>
  <c r="P23" i="4"/>
  <c r="O23" i="4"/>
  <c r="Q23" i="4" s="1"/>
  <c r="H23" i="4"/>
  <c r="I23" i="4" s="1"/>
  <c r="J23" i="4" s="1"/>
  <c r="R22" i="4"/>
  <c r="P22" i="4"/>
  <c r="O22" i="4"/>
  <c r="Q22" i="4" s="1"/>
  <c r="H22" i="4"/>
  <c r="I22" i="4" s="1"/>
  <c r="J22" i="4" s="1"/>
  <c r="R21" i="4"/>
  <c r="P21" i="4"/>
  <c r="O21" i="4"/>
  <c r="Q21" i="4" s="1"/>
  <c r="H21" i="4"/>
  <c r="R20" i="4"/>
  <c r="P20" i="4"/>
  <c r="P15" i="4" s="1"/>
  <c r="P36" i="4" s="1"/>
  <c r="O20" i="4"/>
  <c r="H20" i="4"/>
  <c r="I20" i="4" s="1"/>
  <c r="J20" i="4" s="1"/>
  <c r="R19" i="4"/>
  <c r="P19" i="4"/>
  <c r="O19" i="4"/>
  <c r="Q19" i="4" s="1"/>
  <c r="H19" i="4"/>
  <c r="I19" i="4" s="1"/>
  <c r="J19" i="4" s="1"/>
  <c r="R18" i="4"/>
  <c r="P18" i="4"/>
  <c r="O18" i="4"/>
  <c r="Q18" i="4" s="1"/>
  <c r="H18" i="4"/>
  <c r="I18" i="4" s="1"/>
  <c r="J18" i="4" s="1"/>
  <c r="R17" i="4"/>
  <c r="P17" i="4"/>
  <c r="O17" i="4"/>
  <c r="Q17" i="4" s="1"/>
  <c r="H17" i="4"/>
  <c r="I17" i="4" s="1"/>
  <c r="J17" i="4" s="1"/>
  <c r="R16" i="4"/>
  <c r="P16" i="4"/>
  <c r="O16" i="4"/>
  <c r="Q16" i="4" s="1"/>
  <c r="H16" i="4"/>
  <c r="I16" i="4" s="1"/>
  <c r="J16" i="4" s="1"/>
  <c r="R14" i="4"/>
  <c r="P14" i="4"/>
  <c r="O14" i="4"/>
  <c r="Q14" i="4" s="1"/>
  <c r="H14" i="4"/>
  <c r="I14" i="4" s="1"/>
  <c r="J14" i="4" s="1"/>
  <c r="R13" i="4"/>
  <c r="P13" i="4"/>
  <c r="O13" i="4"/>
  <c r="Q13" i="4" s="1"/>
  <c r="H13" i="4"/>
  <c r="I13" i="4" s="1"/>
  <c r="J13" i="4" s="1"/>
  <c r="R12" i="4"/>
  <c r="P12" i="4"/>
  <c r="O12" i="4"/>
  <c r="Q12" i="4" s="1"/>
  <c r="H12" i="4"/>
  <c r="I12" i="4" s="1"/>
  <c r="J12" i="4" s="1"/>
  <c r="R11" i="4"/>
  <c r="P11" i="4"/>
  <c r="O11" i="4"/>
  <c r="Q11" i="4" s="1"/>
  <c r="H11" i="4"/>
  <c r="I11" i="4" s="1"/>
  <c r="J11" i="4" s="1"/>
  <c r="R10" i="4"/>
  <c r="P10" i="4"/>
  <c r="O10" i="4"/>
  <c r="Q10" i="4" s="1"/>
  <c r="H10" i="4"/>
  <c r="I10" i="4" s="1"/>
  <c r="J10" i="4" s="1"/>
  <c r="R9" i="4"/>
  <c r="P9" i="4"/>
  <c r="O9" i="4"/>
  <c r="Q9" i="4" s="1"/>
  <c r="H9" i="4"/>
  <c r="I9" i="4" s="1"/>
  <c r="J9" i="4" s="1"/>
  <c r="R8" i="4"/>
  <c r="P8" i="4"/>
  <c r="O8" i="4"/>
  <c r="Q8" i="4" s="1"/>
  <c r="H8" i="4"/>
  <c r="I8" i="4" s="1"/>
  <c r="J8" i="4" s="1"/>
  <c r="R7" i="4"/>
  <c r="P7" i="4"/>
  <c r="O7" i="4"/>
  <c r="Q7" i="4" s="1"/>
  <c r="H7" i="4"/>
  <c r="I7" i="4" s="1"/>
  <c r="J7" i="4" s="1"/>
  <c r="P6" i="4"/>
  <c r="O6" i="4"/>
  <c r="Q6" i="4" s="1"/>
  <c r="H6" i="4"/>
  <c r="I6" i="4" s="1"/>
  <c r="J6" i="4" s="1"/>
  <c r="R73" i="2"/>
  <c r="Q73" i="2"/>
  <c r="P73" i="2"/>
  <c r="O73" i="2"/>
  <c r="N73" i="2"/>
  <c r="R72" i="2"/>
  <c r="Q72" i="2"/>
  <c r="P72" i="2"/>
  <c r="O72" i="2"/>
  <c r="N72" i="2"/>
  <c r="R71" i="2"/>
  <c r="Q71" i="2"/>
  <c r="P71" i="2"/>
  <c r="O71" i="2"/>
  <c r="N71" i="2"/>
  <c r="R70" i="2"/>
  <c r="Q70" i="2"/>
  <c r="P70" i="2"/>
  <c r="O70" i="2"/>
  <c r="N70" i="2"/>
  <c r="R69" i="2"/>
  <c r="Q69" i="2"/>
  <c r="P69" i="2"/>
  <c r="O69" i="2"/>
  <c r="N69" i="2"/>
  <c r="R68" i="2"/>
  <c r="Q68" i="2"/>
  <c r="P68" i="2"/>
  <c r="O68" i="2"/>
  <c r="N68" i="2"/>
  <c r="R67" i="2"/>
  <c r="Q67" i="2"/>
  <c r="P67" i="2"/>
  <c r="O67" i="2"/>
  <c r="N67" i="2"/>
  <c r="R66" i="2"/>
  <c r="Q66" i="2"/>
  <c r="P66" i="2"/>
  <c r="O66" i="2"/>
  <c r="N66" i="2"/>
  <c r="R65" i="2"/>
  <c r="Q65" i="2"/>
  <c r="P65" i="2"/>
  <c r="O65" i="2"/>
  <c r="N65" i="2"/>
  <c r="R64" i="2"/>
  <c r="Q64" i="2"/>
  <c r="P64" i="2"/>
  <c r="O64" i="2"/>
  <c r="N64" i="2"/>
  <c r="R63" i="2"/>
  <c r="Q63" i="2"/>
  <c r="P63" i="2"/>
  <c r="O63" i="2"/>
  <c r="N63" i="2"/>
  <c r="R62" i="2"/>
  <c r="Q62" i="2"/>
  <c r="P62" i="2"/>
  <c r="O62" i="2"/>
  <c r="N62" i="2"/>
  <c r="R61" i="2"/>
  <c r="Q61" i="2"/>
  <c r="P61" i="2"/>
  <c r="O61" i="2"/>
  <c r="N61" i="2"/>
  <c r="R60" i="2"/>
  <c r="Q60" i="2"/>
  <c r="P60" i="2"/>
  <c r="O60" i="2"/>
  <c r="N60" i="2"/>
  <c r="R59" i="2"/>
  <c r="Q59" i="2"/>
  <c r="P59" i="2"/>
  <c r="O59" i="2"/>
  <c r="N59" i="2"/>
  <c r="R58" i="2"/>
  <c r="Q58" i="2"/>
  <c r="P58" i="2"/>
  <c r="O58" i="2"/>
  <c r="N58" i="2"/>
  <c r="R57" i="2"/>
  <c r="Q57" i="2"/>
  <c r="P57" i="2"/>
  <c r="O57" i="2"/>
  <c r="N57" i="2"/>
  <c r="R56" i="2"/>
  <c r="Q56" i="2"/>
  <c r="P56" i="2"/>
  <c r="O56" i="2"/>
  <c r="N56" i="2"/>
  <c r="R55" i="2"/>
  <c r="Q55" i="2"/>
  <c r="P55" i="2"/>
  <c r="O55" i="2"/>
  <c r="N55" i="2"/>
  <c r="R54" i="2"/>
  <c r="Q54" i="2"/>
  <c r="P54" i="2"/>
  <c r="O54" i="2"/>
  <c r="N54" i="2"/>
  <c r="R53" i="2"/>
  <c r="Q53" i="2"/>
  <c r="P53" i="2"/>
  <c r="O53" i="2"/>
  <c r="N53" i="2"/>
  <c r="R52" i="2"/>
  <c r="Q52" i="2"/>
  <c r="P52" i="2"/>
  <c r="O52" i="2"/>
  <c r="N52" i="2"/>
  <c r="R51" i="2"/>
  <c r="Q51" i="2"/>
  <c r="P51" i="2"/>
  <c r="O51" i="2"/>
  <c r="N51" i="2"/>
  <c r="R50" i="2"/>
  <c r="Q50" i="2"/>
  <c r="P50" i="2"/>
  <c r="O50" i="2"/>
  <c r="N50" i="2"/>
  <c r="R49" i="2"/>
  <c r="Q49" i="2"/>
  <c r="P49" i="2"/>
  <c r="O49" i="2"/>
  <c r="N49" i="2"/>
  <c r="R48" i="2"/>
  <c r="Q48" i="2"/>
  <c r="P48" i="2"/>
  <c r="O48" i="2"/>
  <c r="N48" i="2"/>
  <c r="R47" i="2"/>
  <c r="Q47" i="2"/>
  <c r="P47" i="2"/>
  <c r="O47" i="2"/>
  <c r="N47" i="2"/>
  <c r="R46" i="2"/>
  <c r="Q46" i="2"/>
  <c r="P46" i="2"/>
  <c r="O46" i="2"/>
  <c r="N46" i="2"/>
  <c r="R45" i="2"/>
  <c r="Q45" i="2"/>
  <c r="P45" i="2"/>
  <c r="O45" i="2"/>
  <c r="N45" i="2"/>
  <c r="R44" i="2"/>
  <c r="Q44" i="2"/>
  <c r="P44" i="2"/>
  <c r="O44" i="2"/>
  <c r="N44" i="2"/>
  <c r="R43" i="2"/>
  <c r="Q43" i="2"/>
  <c r="P43" i="2"/>
  <c r="O43" i="2"/>
  <c r="N43" i="2"/>
  <c r="R42" i="2"/>
  <c r="Q42" i="2"/>
  <c r="P42" i="2"/>
  <c r="O42" i="2"/>
  <c r="N42" i="2"/>
  <c r="R41" i="2"/>
  <c r="Q41" i="2"/>
  <c r="P41" i="2"/>
  <c r="O41" i="2"/>
  <c r="N41" i="2"/>
  <c r="R40" i="2"/>
  <c r="Q40" i="2"/>
  <c r="P40" i="2"/>
  <c r="O40" i="2"/>
  <c r="N40" i="2"/>
  <c r="R39" i="2"/>
  <c r="Q39" i="2"/>
  <c r="P39" i="2"/>
  <c r="O39" i="2"/>
  <c r="N39" i="2"/>
  <c r="R38" i="2"/>
  <c r="Q38" i="2"/>
  <c r="P38" i="2"/>
  <c r="O38" i="2"/>
  <c r="N38" i="2"/>
  <c r="R37" i="2"/>
  <c r="Q37" i="2"/>
  <c r="P37" i="2"/>
  <c r="O37" i="2"/>
  <c r="N37" i="2"/>
  <c r="R36" i="2"/>
  <c r="Q36" i="2"/>
  <c r="P36" i="2"/>
  <c r="O36" i="2"/>
  <c r="N36" i="2"/>
  <c r="R35" i="2"/>
  <c r="Q35" i="2"/>
  <c r="P35" i="2"/>
  <c r="O35" i="2"/>
  <c r="N35" i="2"/>
  <c r="R34" i="2"/>
  <c r="Q34" i="2"/>
  <c r="P34" i="2"/>
  <c r="O34" i="2"/>
  <c r="N34" i="2"/>
  <c r="R33" i="2"/>
  <c r="Q33" i="2"/>
  <c r="P33" i="2"/>
  <c r="O33" i="2"/>
  <c r="N33" i="2"/>
  <c r="R32" i="2"/>
  <c r="Q32" i="2"/>
  <c r="P32" i="2"/>
  <c r="O32" i="2"/>
  <c r="N32" i="2"/>
  <c r="R31" i="2"/>
  <c r="Q31" i="2"/>
  <c r="P31" i="2"/>
  <c r="O31" i="2"/>
  <c r="N31" i="2"/>
  <c r="R30" i="2"/>
  <c r="Q30" i="2"/>
  <c r="P30" i="2"/>
  <c r="O30" i="2"/>
  <c r="N30" i="2"/>
  <c r="R29" i="2"/>
  <c r="Q29" i="2"/>
  <c r="P29" i="2"/>
  <c r="O29" i="2"/>
  <c r="N29" i="2"/>
  <c r="R28" i="2"/>
  <c r="Q28" i="2"/>
  <c r="P28" i="2"/>
  <c r="O28" i="2"/>
  <c r="N28" i="2"/>
  <c r="R27" i="2"/>
  <c r="Q27" i="2"/>
  <c r="P27" i="2"/>
  <c r="O27" i="2"/>
  <c r="N27" i="2"/>
  <c r="R26" i="2"/>
  <c r="Q26" i="2"/>
  <c r="P26" i="2"/>
  <c r="O26" i="2"/>
  <c r="N26" i="2"/>
  <c r="R25" i="2"/>
  <c r="Q25" i="2"/>
  <c r="P25" i="2"/>
  <c r="O25" i="2"/>
  <c r="N25" i="2"/>
  <c r="R24" i="2"/>
  <c r="Q24" i="2"/>
  <c r="P24" i="2"/>
  <c r="O24" i="2"/>
  <c r="N24" i="2"/>
  <c r="R23" i="2"/>
  <c r="Q23" i="2"/>
  <c r="P23" i="2"/>
  <c r="O23" i="2"/>
  <c r="N23" i="2"/>
  <c r="R22" i="2"/>
  <c r="Q22" i="2"/>
  <c r="P22" i="2"/>
  <c r="O22" i="2"/>
  <c r="N22" i="2"/>
  <c r="R21" i="2"/>
  <c r="Q21" i="2"/>
  <c r="P21" i="2"/>
  <c r="O21" i="2"/>
  <c r="N21" i="2"/>
  <c r="R20" i="2"/>
  <c r="Q20" i="2"/>
  <c r="P20" i="2"/>
  <c r="O20" i="2"/>
  <c r="N20" i="2"/>
  <c r="R19" i="2"/>
  <c r="Q19" i="2"/>
  <c r="P19" i="2"/>
  <c r="O19" i="2"/>
  <c r="N19" i="2"/>
  <c r="R18" i="2"/>
  <c r="Q18" i="2"/>
  <c r="P18" i="2"/>
  <c r="O18" i="2"/>
  <c r="N18" i="2"/>
  <c r="R17" i="2"/>
  <c r="Q17" i="2"/>
  <c r="P17" i="2"/>
  <c r="O17" i="2"/>
  <c r="N17" i="2"/>
  <c r="R16" i="2"/>
  <c r="Q16" i="2"/>
  <c r="P16" i="2"/>
  <c r="O16" i="2"/>
  <c r="N16" i="2"/>
  <c r="R15" i="2"/>
  <c r="Q15" i="2"/>
  <c r="P15" i="2"/>
  <c r="O15" i="2"/>
  <c r="N15" i="2"/>
  <c r="R14" i="2"/>
  <c r="Q14" i="2"/>
  <c r="P14" i="2"/>
  <c r="O14" i="2"/>
  <c r="N14" i="2"/>
  <c r="C10" i="2"/>
  <c r="D10" i="2" s="1"/>
  <c r="E10" i="2" s="1"/>
  <c r="C9" i="2"/>
  <c r="D9" i="2" s="1"/>
  <c r="E9" i="2" s="1"/>
  <c r="C8" i="2"/>
  <c r="D8" i="2" s="1"/>
  <c r="E8" i="2" s="1"/>
  <c r="C7" i="2"/>
  <c r="D7" i="2" s="1"/>
  <c r="E7" i="2" s="1"/>
  <c r="C6" i="2"/>
  <c r="D6" i="2" s="1"/>
  <c r="E6" i="2" s="1"/>
  <c r="C5" i="2"/>
  <c r="D5" i="2" s="1"/>
  <c r="E5" i="2" s="1"/>
  <c r="C14" i="14" l="1"/>
  <c r="W41" i="13"/>
  <c r="W40" i="13" s="1"/>
  <c r="X41" i="13"/>
  <c r="X40" i="13" s="1"/>
  <c r="Y41" i="13"/>
  <c r="Y40" i="13" s="1"/>
  <c r="Z41" i="13"/>
  <c r="Z40" i="13" s="1"/>
  <c r="W39" i="13"/>
  <c r="W38" i="13" s="1"/>
  <c r="X39" i="13"/>
  <c r="X38" i="13" s="1"/>
  <c r="Y39" i="13"/>
  <c r="Y38" i="13" s="1"/>
  <c r="Z39" i="13"/>
  <c r="Z38" i="13" s="1"/>
  <c r="W37" i="13"/>
  <c r="W36" i="13" s="1"/>
  <c r="X37" i="13"/>
  <c r="X36" i="13" s="1"/>
  <c r="Y37" i="13"/>
  <c r="Y36" i="13" s="1"/>
  <c r="Z37" i="13"/>
  <c r="Z36" i="13" s="1"/>
  <c r="W35" i="13"/>
  <c r="W34" i="13" s="1"/>
  <c r="X35" i="13"/>
  <c r="X34" i="13" s="1"/>
  <c r="Y35" i="13"/>
  <c r="Y34" i="13" s="1"/>
  <c r="Z35" i="13"/>
  <c r="Z34" i="13" s="1"/>
  <c r="W33" i="13"/>
  <c r="W32" i="13" s="1"/>
  <c r="X33" i="13"/>
  <c r="X32" i="13" s="1"/>
  <c r="Y33" i="13"/>
  <c r="Y32" i="13" s="1"/>
  <c r="Z33" i="13"/>
  <c r="Z32" i="13" s="1"/>
  <c r="W31" i="13"/>
  <c r="W30" i="13" s="1"/>
  <c r="X31" i="13"/>
  <c r="X30" i="13" s="1"/>
  <c r="Y31" i="13"/>
  <c r="Y30" i="13" s="1"/>
  <c r="Z31" i="13"/>
  <c r="Z30" i="13" s="1"/>
  <c r="W29" i="13"/>
  <c r="W28" i="13" s="1"/>
  <c r="X29" i="13"/>
  <c r="X28" i="13" s="1"/>
  <c r="Y29" i="13"/>
  <c r="Y28" i="13" s="1"/>
  <c r="Z29" i="13"/>
  <c r="Z28" i="13" s="1"/>
  <c r="W27" i="13"/>
  <c r="W26" i="13" s="1"/>
  <c r="X27" i="13"/>
  <c r="X26" i="13" s="1"/>
  <c r="Y27" i="13"/>
  <c r="Y26" i="13" s="1"/>
  <c r="Z27" i="13"/>
  <c r="Z26" i="13" s="1"/>
  <c r="W25" i="13"/>
  <c r="X25" i="13"/>
  <c r="Y25" i="13"/>
  <c r="Z25" i="13"/>
  <c r="W24" i="13"/>
  <c r="X24" i="13"/>
  <c r="Y24" i="13"/>
  <c r="Z24" i="13"/>
  <c r="W23" i="13"/>
  <c r="W22" i="13" s="1"/>
  <c r="X23" i="13"/>
  <c r="X22" i="13" s="1"/>
  <c r="Y23" i="13"/>
  <c r="Y22" i="13" s="1"/>
  <c r="Z23" i="13"/>
  <c r="Z22" i="13" s="1"/>
  <c r="W21" i="13"/>
  <c r="W20" i="13" s="1"/>
  <c r="X21" i="13"/>
  <c r="X20" i="13" s="1"/>
  <c r="Y21" i="13"/>
  <c r="Y20" i="13" s="1"/>
  <c r="Z21" i="13"/>
  <c r="Z20" i="13" s="1"/>
  <c r="W19" i="13"/>
  <c r="X19" i="13"/>
  <c r="Y19" i="13"/>
  <c r="Z19" i="13"/>
  <c r="W18" i="13"/>
  <c r="W17" i="13" s="1"/>
  <c r="X18" i="13"/>
  <c r="X17" i="13" s="1"/>
  <c r="Y18" i="13"/>
  <c r="Y17" i="13" s="1"/>
  <c r="Z18" i="13"/>
  <c r="Z17" i="13" s="1"/>
  <c r="W16" i="13"/>
  <c r="X16" i="13"/>
  <c r="Y16" i="13"/>
  <c r="Z16" i="13"/>
  <c r="W15" i="13"/>
  <c r="X15" i="13"/>
  <c r="Y15" i="13"/>
  <c r="Z15" i="13"/>
  <c r="W14" i="13"/>
  <c r="W13" i="13" s="1"/>
  <c r="X14" i="13"/>
  <c r="X13" i="13" s="1"/>
  <c r="Y14" i="13"/>
  <c r="Y13" i="13" s="1"/>
  <c r="Z14" i="13"/>
  <c r="Z13" i="13" s="1"/>
  <c r="W12" i="13"/>
  <c r="X12" i="13"/>
  <c r="Y12" i="13"/>
  <c r="Z12" i="13"/>
  <c r="W11" i="13"/>
  <c r="W10" i="13" s="1"/>
  <c r="X11" i="13"/>
  <c r="X10" i="13" s="1"/>
  <c r="Y11" i="13"/>
  <c r="Y10" i="13" s="1"/>
  <c r="Z11" i="13"/>
  <c r="Z10" i="13" s="1"/>
  <c r="W9" i="13"/>
  <c r="W8" i="13" s="1"/>
  <c r="W42" i="13" s="1"/>
  <c r="X9" i="13"/>
  <c r="X8" i="13" s="1"/>
  <c r="X42" i="13" s="1"/>
  <c r="Y9" i="13"/>
  <c r="Y8" i="13" s="1"/>
  <c r="Y42" i="13" s="1"/>
  <c r="Z9" i="13"/>
  <c r="Z8" i="13" s="1"/>
  <c r="Z42" i="13" s="1"/>
  <c r="W21" i="12"/>
  <c r="X21" i="12"/>
  <c r="Y21" i="12"/>
  <c r="Z21" i="12"/>
  <c r="W20" i="12"/>
  <c r="W19" i="12" s="1"/>
  <c r="X20" i="12"/>
  <c r="X19" i="12" s="1"/>
  <c r="Y20" i="12"/>
  <c r="Y19" i="12" s="1"/>
  <c r="Z20" i="12"/>
  <c r="Z19" i="12" s="1"/>
  <c r="W18" i="12"/>
  <c r="X18" i="12"/>
  <c r="Y18" i="12"/>
  <c r="Z18" i="12"/>
  <c r="W17" i="12"/>
  <c r="W16" i="12" s="1"/>
  <c r="X17" i="12"/>
  <c r="X16" i="12" s="1"/>
  <c r="Y17" i="12"/>
  <c r="Y16" i="12" s="1"/>
  <c r="Z17" i="12"/>
  <c r="Z16" i="12" s="1"/>
  <c r="W15" i="12"/>
  <c r="X15" i="12"/>
  <c r="Y15" i="12"/>
  <c r="Z15" i="12"/>
  <c r="W14" i="12"/>
  <c r="W13" i="12" s="1"/>
  <c r="X14" i="12"/>
  <c r="X13" i="12" s="1"/>
  <c r="Y14" i="12"/>
  <c r="Y13" i="12" s="1"/>
  <c r="Z14" i="12"/>
  <c r="Z13" i="12" s="1"/>
  <c r="W12" i="12"/>
  <c r="X12" i="12"/>
  <c r="Y12" i="12"/>
  <c r="Z12" i="12"/>
  <c r="W11" i="12"/>
  <c r="X11" i="12"/>
  <c r="Y11" i="12"/>
  <c r="Z11" i="12"/>
  <c r="W10" i="12"/>
  <c r="X10" i="12"/>
  <c r="Y10" i="12"/>
  <c r="Z10" i="12"/>
  <c r="W9" i="12"/>
  <c r="W8" i="12" s="1"/>
  <c r="W22" i="12" s="1"/>
  <c r="X9" i="12"/>
  <c r="X8" i="12" s="1"/>
  <c r="X22" i="12" s="1"/>
  <c r="Y9" i="12"/>
  <c r="Y8" i="12" s="1"/>
  <c r="Y22" i="12" s="1"/>
  <c r="Z9" i="12"/>
  <c r="Z8" i="12" s="1"/>
  <c r="Z22" i="12" s="1"/>
  <c r="W24" i="11"/>
  <c r="X24" i="11"/>
  <c r="Y24" i="11"/>
  <c r="Z24" i="11"/>
  <c r="W23" i="11"/>
  <c r="X23" i="11"/>
  <c r="Y23" i="11"/>
  <c r="Z23" i="11"/>
  <c r="W22" i="11"/>
  <c r="W21" i="11" s="1"/>
  <c r="X22" i="11"/>
  <c r="X21" i="11" s="1"/>
  <c r="Y22" i="11"/>
  <c r="Y21" i="11" s="1"/>
  <c r="Z22" i="11"/>
  <c r="Z21" i="11" s="1"/>
  <c r="W20" i="11"/>
  <c r="W19" i="11" s="1"/>
  <c r="X20" i="11"/>
  <c r="X19" i="11" s="1"/>
  <c r="Y20" i="11"/>
  <c r="Y19" i="11" s="1"/>
  <c r="Z20" i="11"/>
  <c r="Z19" i="11" s="1"/>
  <c r="W18" i="11"/>
  <c r="X18" i="11"/>
  <c r="Y18" i="11"/>
  <c r="Z18" i="11"/>
  <c r="W17" i="11"/>
  <c r="W16" i="11" s="1"/>
  <c r="X17" i="11"/>
  <c r="X16" i="11" s="1"/>
  <c r="Y17" i="11"/>
  <c r="Y16" i="11" s="1"/>
  <c r="Z17" i="11"/>
  <c r="Z16" i="11" s="1"/>
  <c r="W15" i="11"/>
  <c r="X15" i="11"/>
  <c r="Y15" i="11"/>
  <c r="Z15" i="11"/>
  <c r="W14" i="11"/>
  <c r="W13" i="11" s="1"/>
  <c r="X14" i="11"/>
  <c r="X13" i="11" s="1"/>
  <c r="Y14" i="11"/>
  <c r="Y13" i="11" s="1"/>
  <c r="Z14" i="11"/>
  <c r="Z13" i="11" s="1"/>
  <c r="W12" i="11"/>
  <c r="X12" i="11"/>
  <c r="Y12" i="11"/>
  <c r="Z12" i="11"/>
  <c r="W11" i="11"/>
  <c r="X11" i="11"/>
  <c r="Y11" i="11"/>
  <c r="Z11" i="11"/>
  <c r="W10" i="11"/>
  <c r="X10" i="11"/>
  <c r="Y10" i="11"/>
  <c r="Z10" i="11"/>
  <c r="W9" i="11"/>
  <c r="X9" i="11"/>
  <c r="Y9" i="11"/>
  <c r="Z9" i="11"/>
  <c r="Z8" i="11" s="1"/>
  <c r="W24" i="10"/>
  <c r="X24" i="10"/>
  <c r="Y24" i="10"/>
  <c r="Z24" i="10"/>
  <c r="W23" i="10"/>
  <c r="X23" i="10"/>
  <c r="Y23" i="10"/>
  <c r="Z23" i="10"/>
  <c r="W22" i="10"/>
  <c r="X22" i="10"/>
  <c r="Y22" i="10"/>
  <c r="Z22" i="10"/>
  <c r="W21" i="10"/>
  <c r="X21" i="10"/>
  <c r="Y21" i="10"/>
  <c r="Z21" i="10"/>
  <c r="W20" i="10"/>
  <c r="X20" i="10"/>
  <c r="Y20" i="10"/>
  <c r="Z20" i="10"/>
  <c r="W19" i="10"/>
  <c r="X19" i="10"/>
  <c r="Y19" i="10"/>
  <c r="Z19" i="10"/>
  <c r="W18" i="10"/>
  <c r="W17" i="10" s="1"/>
  <c r="X18" i="10"/>
  <c r="X17" i="10" s="1"/>
  <c r="Y18" i="10"/>
  <c r="Y17" i="10" s="1"/>
  <c r="Z18" i="10"/>
  <c r="Z17" i="10" s="1"/>
  <c r="W16" i="10"/>
  <c r="X16" i="10"/>
  <c r="Y16" i="10"/>
  <c r="Z16" i="10"/>
  <c r="W15" i="10"/>
  <c r="X15" i="10"/>
  <c r="Y15" i="10"/>
  <c r="Z15" i="10"/>
  <c r="W14" i="10"/>
  <c r="X14" i="10"/>
  <c r="Y14" i="10"/>
  <c r="Z14" i="10"/>
  <c r="W13" i="10"/>
  <c r="X13" i="10"/>
  <c r="Y13" i="10"/>
  <c r="Z13" i="10"/>
  <c r="W12" i="10"/>
  <c r="X12" i="10"/>
  <c r="Y12" i="10"/>
  <c r="Z12" i="10"/>
  <c r="W11" i="10"/>
  <c r="X11" i="10"/>
  <c r="Y11" i="10"/>
  <c r="Z11" i="10"/>
  <c r="W10" i="10"/>
  <c r="X10" i="10"/>
  <c r="Y10" i="10"/>
  <c r="Z10" i="10"/>
  <c r="W9" i="10"/>
  <c r="W8" i="10" s="1"/>
  <c r="W25" i="10" s="1"/>
  <c r="X9" i="10"/>
  <c r="X8" i="10" s="1"/>
  <c r="X25" i="10" s="1"/>
  <c r="Y9" i="10"/>
  <c r="Y8" i="10" s="1"/>
  <c r="Y25" i="10" s="1"/>
  <c r="Z9" i="10"/>
  <c r="Z8" i="10" s="1"/>
  <c r="Z25" i="10" s="1"/>
  <c r="W20" i="9"/>
  <c r="W19" i="9" s="1"/>
  <c r="X20" i="9"/>
  <c r="X19" i="9" s="1"/>
  <c r="Y20" i="9"/>
  <c r="Y19" i="9" s="1"/>
  <c r="Z20" i="9"/>
  <c r="Z19" i="9" s="1"/>
  <c r="W18" i="9"/>
  <c r="W17" i="9" s="1"/>
  <c r="X18" i="9"/>
  <c r="X17" i="9" s="1"/>
  <c r="Y18" i="9"/>
  <c r="Y17" i="9" s="1"/>
  <c r="Z18" i="9"/>
  <c r="Z17" i="9" s="1"/>
  <c r="W16" i="9"/>
  <c r="X16" i="9"/>
  <c r="Y16" i="9"/>
  <c r="Z16" i="9"/>
  <c r="W15" i="9"/>
  <c r="X15" i="9"/>
  <c r="Y15" i="9"/>
  <c r="Z15" i="9"/>
  <c r="W14" i="9"/>
  <c r="W13" i="9" s="1"/>
  <c r="X14" i="9"/>
  <c r="X13" i="9" s="1"/>
  <c r="Y14" i="9"/>
  <c r="Y13" i="9" s="1"/>
  <c r="Z14" i="9"/>
  <c r="Z13" i="9" s="1"/>
  <c r="W12" i="9"/>
  <c r="X12" i="9"/>
  <c r="Y12" i="9"/>
  <c r="Z12" i="9"/>
  <c r="W11" i="9"/>
  <c r="W10" i="9" s="1"/>
  <c r="X11" i="9"/>
  <c r="X10" i="9" s="1"/>
  <c r="Y11" i="9"/>
  <c r="Y10" i="9" s="1"/>
  <c r="Z11" i="9"/>
  <c r="Z10" i="9" s="1"/>
  <c r="W9" i="9"/>
  <c r="W8" i="9" s="1"/>
  <c r="W21" i="9" s="1"/>
  <c r="X9" i="9"/>
  <c r="X8" i="9" s="1"/>
  <c r="X21" i="9" s="1"/>
  <c r="Y9" i="9"/>
  <c r="Y8" i="9" s="1"/>
  <c r="Y21" i="9" s="1"/>
  <c r="Z9" i="9"/>
  <c r="Z8" i="9" s="1"/>
  <c r="Z21" i="9" s="1"/>
  <c r="W32" i="8"/>
  <c r="X32" i="8"/>
  <c r="Y32" i="8"/>
  <c r="Z32" i="8"/>
  <c r="W31" i="8"/>
  <c r="X31" i="8"/>
  <c r="Y31" i="8"/>
  <c r="Z31" i="8"/>
  <c r="W30" i="8"/>
  <c r="X30" i="8"/>
  <c r="Y30" i="8"/>
  <c r="Z30" i="8"/>
  <c r="W29" i="8"/>
  <c r="X29" i="8"/>
  <c r="Y29" i="8"/>
  <c r="Z29" i="8"/>
  <c r="W28" i="8"/>
  <c r="W27" i="8" s="1"/>
  <c r="X28" i="8"/>
  <c r="X27" i="8" s="1"/>
  <c r="Y28" i="8"/>
  <c r="Y27" i="8" s="1"/>
  <c r="Z28" i="8"/>
  <c r="Z27" i="8" s="1"/>
  <c r="W26" i="8"/>
  <c r="X26" i="8"/>
  <c r="Y26" i="8"/>
  <c r="Z26" i="8"/>
  <c r="W25" i="8"/>
  <c r="X25" i="8"/>
  <c r="Y25" i="8"/>
  <c r="Z25" i="8"/>
  <c r="W24" i="8"/>
  <c r="X24" i="8"/>
  <c r="Y24" i="8"/>
  <c r="Z24" i="8"/>
  <c r="W23" i="8"/>
  <c r="W22" i="8" s="1"/>
  <c r="X23" i="8"/>
  <c r="X22" i="8" s="1"/>
  <c r="Y23" i="8"/>
  <c r="Y22" i="8" s="1"/>
  <c r="Z23" i="8"/>
  <c r="Z22" i="8" s="1"/>
  <c r="W21" i="8"/>
  <c r="X21" i="8"/>
  <c r="Y21" i="8"/>
  <c r="Z21" i="8"/>
  <c r="W20" i="8"/>
  <c r="W19" i="8" s="1"/>
  <c r="X20" i="8"/>
  <c r="X19" i="8" s="1"/>
  <c r="Y20" i="8"/>
  <c r="Y19" i="8" s="1"/>
  <c r="Z20" i="8"/>
  <c r="Z19" i="8" s="1"/>
  <c r="W18" i="8"/>
  <c r="X18" i="8"/>
  <c r="Y18" i="8"/>
  <c r="Z18" i="8"/>
  <c r="W17" i="8"/>
  <c r="W16" i="8" s="1"/>
  <c r="X17" i="8"/>
  <c r="X16" i="8" s="1"/>
  <c r="Y17" i="8"/>
  <c r="Y16" i="8" s="1"/>
  <c r="Z17" i="8"/>
  <c r="Z16" i="8" s="1"/>
  <c r="W15" i="8"/>
  <c r="X15" i="8"/>
  <c r="Y15" i="8"/>
  <c r="Z15" i="8"/>
  <c r="U14" i="8"/>
  <c r="V14" i="8" s="1"/>
  <c r="U13" i="8"/>
  <c r="V13" i="8" s="1"/>
  <c r="T13" i="8"/>
  <c r="T33" i="8" s="1"/>
  <c r="U33" i="8" s="1"/>
  <c r="V33" i="8" s="1"/>
  <c r="W12" i="8"/>
  <c r="X12" i="8"/>
  <c r="Y12" i="8"/>
  <c r="Z12" i="8"/>
  <c r="W11" i="8"/>
  <c r="W10" i="8" s="1"/>
  <c r="X11" i="8"/>
  <c r="X10" i="8" s="1"/>
  <c r="Y11" i="8"/>
  <c r="Y10" i="8" s="1"/>
  <c r="Z11" i="8"/>
  <c r="Z10" i="8" s="1"/>
  <c r="W9" i="8"/>
  <c r="W8" i="8" s="1"/>
  <c r="X9" i="8"/>
  <c r="X8" i="8" s="1"/>
  <c r="Y9" i="8"/>
  <c r="Y8" i="8" s="1"/>
  <c r="Z9" i="8"/>
  <c r="Z8" i="8" s="1"/>
  <c r="W35" i="7"/>
  <c r="X35" i="7"/>
  <c r="Y35" i="7"/>
  <c r="Z35" i="7"/>
  <c r="W34" i="7"/>
  <c r="W33" i="7" s="1"/>
  <c r="X34" i="7"/>
  <c r="X33" i="7" s="1"/>
  <c r="Y34" i="7"/>
  <c r="Y33" i="7" s="1"/>
  <c r="Z34" i="7"/>
  <c r="Z33" i="7" s="1"/>
  <c r="W32" i="7"/>
  <c r="X32" i="7"/>
  <c r="Y32" i="7"/>
  <c r="Z32" i="7"/>
  <c r="W31" i="7"/>
  <c r="X31" i="7"/>
  <c r="Y31" i="7"/>
  <c r="Z31" i="7"/>
  <c r="W30" i="7"/>
  <c r="W29" i="7" s="1"/>
  <c r="X30" i="7"/>
  <c r="X29" i="7" s="1"/>
  <c r="Y30" i="7"/>
  <c r="Y29" i="7" s="1"/>
  <c r="Z30" i="7"/>
  <c r="Z29" i="7" s="1"/>
  <c r="W28" i="7"/>
  <c r="X28" i="7"/>
  <c r="Y28" i="7"/>
  <c r="Z28" i="7"/>
  <c r="W27" i="7"/>
  <c r="W26" i="7" s="1"/>
  <c r="X27" i="7"/>
  <c r="X26" i="7" s="1"/>
  <c r="Y27" i="7"/>
  <c r="Y26" i="7" s="1"/>
  <c r="Z27" i="7"/>
  <c r="Z26" i="7" s="1"/>
  <c r="W25" i="7"/>
  <c r="X25" i="7"/>
  <c r="Y25" i="7"/>
  <c r="Z25" i="7"/>
  <c r="W24" i="7"/>
  <c r="X24" i="7"/>
  <c r="Y24" i="7"/>
  <c r="Z24" i="7"/>
  <c r="W23" i="7"/>
  <c r="W22" i="7" s="1"/>
  <c r="X23" i="7"/>
  <c r="X22" i="7" s="1"/>
  <c r="Y23" i="7"/>
  <c r="Y22" i="7" s="1"/>
  <c r="Z23" i="7"/>
  <c r="Z22" i="7" s="1"/>
  <c r="W21" i="7"/>
  <c r="X21" i="7"/>
  <c r="Y21" i="7"/>
  <c r="Z21" i="7"/>
  <c r="W20" i="7"/>
  <c r="W19" i="7" s="1"/>
  <c r="X20" i="7"/>
  <c r="X19" i="7" s="1"/>
  <c r="Y20" i="7"/>
  <c r="Y19" i="7" s="1"/>
  <c r="Z20" i="7"/>
  <c r="Z19" i="7" s="1"/>
  <c r="W18" i="7"/>
  <c r="X18" i="7"/>
  <c r="Y18" i="7"/>
  <c r="Z18" i="7"/>
  <c r="W17" i="7"/>
  <c r="X17" i="7"/>
  <c r="Y17" i="7"/>
  <c r="Z17" i="7"/>
  <c r="W16" i="7"/>
  <c r="W15" i="7" s="1"/>
  <c r="X16" i="7"/>
  <c r="X15" i="7" s="1"/>
  <c r="Y16" i="7"/>
  <c r="Y15" i="7" s="1"/>
  <c r="Z16" i="7"/>
  <c r="Z15" i="7" s="1"/>
  <c r="W14" i="7"/>
  <c r="X14" i="7"/>
  <c r="Y14" i="7"/>
  <c r="Z14" i="7"/>
  <c r="W13" i="7"/>
  <c r="W12" i="7" s="1"/>
  <c r="X13" i="7"/>
  <c r="X12" i="7" s="1"/>
  <c r="Y13" i="7"/>
  <c r="Y12" i="7" s="1"/>
  <c r="Z13" i="7"/>
  <c r="Z12" i="7" s="1"/>
  <c r="W11" i="7"/>
  <c r="X11" i="7"/>
  <c r="Y11" i="7"/>
  <c r="Z11" i="7"/>
  <c r="W10" i="7"/>
  <c r="X10" i="7"/>
  <c r="Y10" i="7"/>
  <c r="Z10" i="7"/>
  <c r="W9" i="7"/>
  <c r="W8" i="7" s="1"/>
  <c r="X9" i="7"/>
  <c r="X8" i="7" s="1"/>
  <c r="Y9" i="7"/>
  <c r="Y8" i="7" s="1"/>
  <c r="Z9" i="7"/>
  <c r="Z8" i="7" s="1"/>
  <c r="T36" i="7"/>
  <c r="U36" i="7" s="1"/>
  <c r="V36" i="7" s="1"/>
  <c r="U8" i="7"/>
  <c r="V8" i="7" s="1"/>
  <c r="W46" i="6"/>
  <c r="X46" i="6"/>
  <c r="Y46" i="6"/>
  <c r="Z46" i="6"/>
  <c r="W45" i="6"/>
  <c r="X45" i="6"/>
  <c r="Y45" i="6"/>
  <c r="Z45" i="6"/>
  <c r="W44" i="6"/>
  <c r="X44" i="6"/>
  <c r="Y44" i="6"/>
  <c r="Z44" i="6"/>
  <c r="W43" i="6"/>
  <c r="X43" i="6"/>
  <c r="Y43" i="6"/>
  <c r="Z43" i="6"/>
  <c r="W42" i="6"/>
  <c r="W41" i="6" s="1"/>
  <c r="X42" i="6"/>
  <c r="X41" i="6" s="1"/>
  <c r="Y42" i="6"/>
  <c r="Y41" i="6" s="1"/>
  <c r="Z42" i="6"/>
  <c r="Z41" i="6" s="1"/>
  <c r="W40" i="6"/>
  <c r="X40" i="6"/>
  <c r="Y40" i="6"/>
  <c r="Z40" i="6"/>
  <c r="W39" i="6"/>
  <c r="X39" i="6"/>
  <c r="Y39" i="6"/>
  <c r="Z39" i="6"/>
  <c r="W38" i="6"/>
  <c r="X38" i="6"/>
  <c r="Y38" i="6"/>
  <c r="Z38" i="6"/>
  <c r="W37" i="6"/>
  <c r="W36" i="6" s="1"/>
  <c r="X37" i="6"/>
  <c r="X36" i="6" s="1"/>
  <c r="Y37" i="6"/>
  <c r="Y36" i="6" s="1"/>
  <c r="Z37" i="6"/>
  <c r="Z36" i="6" s="1"/>
  <c r="W35" i="6"/>
  <c r="X35" i="6"/>
  <c r="Y35" i="6"/>
  <c r="Z35" i="6"/>
  <c r="W34" i="6"/>
  <c r="X34" i="6"/>
  <c r="Y34" i="6"/>
  <c r="Z34" i="6"/>
  <c r="W33" i="6"/>
  <c r="W32" i="6" s="1"/>
  <c r="X33" i="6"/>
  <c r="X32" i="6" s="1"/>
  <c r="Y33" i="6"/>
  <c r="Y32" i="6" s="1"/>
  <c r="Z33" i="6"/>
  <c r="Z32" i="6" s="1"/>
  <c r="W31" i="6"/>
  <c r="X31" i="6"/>
  <c r="Y31" i="6"/>
  <c r="Z31" i="6"/>
  <c r="W30" i="6"/>
  <c r="X30" i="6"/>
  <c r="Y30" i="6"/>
  <c r="Z30" i="6"/>
  <c r="W29" i="6"/>
  <c r="W28" i="6" s="1"/>
  <c r="X29" i="6"/>
  <c r="X28" i="6" s="1"/>
  <c r="Y29" i="6"/>
  <c r="Y28" i="6" s="1"/>
  <c r="Z29" i="6"/>
  <c r="Z28" i="6" s="1"/>
  <c r="W27" i="6"/>
  <c r="X27" i="6"/>
  <c r="Y27" i="6"/>
  <c r="Z27" i="6"/>
  <c r="W26" i="6"/>
  <c r="X26" i="6"/>
  <c r="Y26" i="6"/>
  <c r="Z26" i="6"/>
  <c r="W25" i="6"/>
  <c r="W24" i="6" s="1"/>
  <c r="X25" i="6"/>
  <c r="X24" i="6" s="1"/>
  <c r="Y25" i="6"/>
  <c r="Y24" i="6" s="1"/>
  <c r="Z25" i="6"/>
  <c r="Z24" i="6" s="1"/>
  <c r="W23" i="6"/>
  <c r="X23" i="6"/>
  <c r="Y23" i="6"/>
  <c r="Z23" i="6"/>
  <c r="W22" i="6"/>
  <c r="X22" i="6"/>
  <c r="Y22" i="6"/>
  <c r="Z22" i="6"/>
  <c r="W21" i="6"/>
  <c r="W20" i="6" s="1"/>
  <c r="X21" i="6"/>
  <c r="X20" i="6" s="1"/>
  <c r="Y21" i="6"/>
  <c r="Y20" i="6" s="1"/>
  <c r="Z21" i="6"/>
  <c r="Z20" i="6" s="1"/>
  <c r="W19" i="6"/>
  <c r="X19" i="6"/>
  <c r="Y19" i="6"/>
  <c r="Z19" i="6"/>
  <c r="W18" i="6"/>
  <c r="X18" i="6"/>
  <c r="Y18" i="6"/>
  <c r="Z18" i="6"/>
  <c r="W17" i="6"/>
  <c r="X17" i="6"/>
  <c r="Y17" i="6"/>
  <c r="Z17" i="6"/>
  <c r="W16" i="6"/>
  <c r="X16" i="6"/>
  <c r="Y16" i="6"/>
  <c r="Z16" i="6"/>
  <c r="W15" i="6"/>
  <c r="W14" i="6" s="1"/>
  <c r="X15" i="6"/>
  <c r="X14" i="6" s="1"/>
  <c r="Y15" i="6"/>
  <c r="Y14" i="6" s="1"/>
  <c r="Z15" i="6"/>
  <c r="Z14" i="6" s="1"/>
  <c r="W13" i="6"/>
  <c r="X13" i="6"/>
  <c r="Y13" i="6"/>
  <c r="Z13" i="6"/>
  <c r="W12" i="6"/>
  <c r="X12" i="6"/>
  <c r="Y12" i="6"/>
  <c r="Z12" i="6"/>
  <c r="W11" i="6"/>
  <c r="X11" i="6"/>
  <c r="Y11" i="6"/>
  <c r="Z11" i="6"/>
  <c r="W10" i="6"/>
  <c r="X10" i="6"/>
  <c r="Y10" i="6"/>
  <c r="Z10" i="6"/>
  <c r="W9" i="6"/>
  <c r="W8" i="6" s="1"/>
  <c r="W47" i="6" s="1"/>
  <c r="X9" i="6"/>
  <c r="X8" i="6" s="1"/>
  <c r="X47" i="6" s="1"/>
  <c r="Y9" i="6"/>
  <c r="Y8" i="6" s="1"/>
  <c r="Y47" i="6" s="1"/>
  <c r="Z9" i="6"/>
  <c r="Z8" i="6" s="1"/>
  <c r="Z47" i="6" s="1"/>
  <c r="T47" i="6"/>
  <c r="U47" i="6" s="1"/>
  <c r="V47" i="6" s="1"/>
  <c r="U8" i="6"/>
  <c r="V8" i="6" s="1"/>
  <c r="W37" i="5"/>
  <c r="X37" i="5"/>
  <c r="Y37" i="5"/>
  <c r="Z37" i="5"/>
  <c r="W36" i="5"/>
  <c r="W35" i="5" s="1"/>
  <c r="X36" i="5"/>
  <c r="X35" i="5" s="1"/>
  <c r="Y36" i="5"/>
  <c r="Y35" i="5" s="1"/>
  <c r="Z36" i="5"/>
  <c r="Z35" i="5" s="1"/>
  <c r="W34" i="5"/>
  <c r="X34" i="5"/>
  <c r="Y34" i="5"/>
  <c r="Z34" i="5"/>
  <c r="W33" i="5"/>
  <c r="X33" i="5"/>
  <c r="Y33" i="5"/>
  <c r="Z33" i="5"/>
  <c r="W32" i="5"/>
  <c r="X32" i="5"/>
  <c r="Y32" i="5"/>
  <c r="Z32" i="5"/>
  <c r="W31" i="5"/>
  <c r="X31" i="5"/>
  <c r="Y31" i="5"/>
  <c r="Z31" i="5"/>
  <c r="W30" i="5"/>
  <c r="X30" i="5"/>
  <c r="Y30" i="5"/>
  <c r="Z30" i="5"/>
  <c r="W28" i="5"/>
  <c r="X28" i="5"/>
  <c r="Y28" i="5"/>
  <c r="Z28" i="5"/>
  <c r="W27" i="5"/>
  <c r="X27" i="5"/>
  <c r="Y27" i="5"/>
  <c r="Z27" i="5"/>
  <c r="W26" i="5"/>
  <c r="W25" i="5" s="1"/>
  <c r="X26" i="5"/>
  <c r="X25" i="5" s="1"/>
  <c r="Y26" i="5"/>
  <c r="Y25" i="5" s="1"/>
  <c r="Z26" i="5"/>
  <c r="Z25" i="5" s="1"/>
  <c r="W24" i="5"/>
  <c r="X24" i="5"/>
  <c r="Y24" i="5"/>
  <c r="Z24" i="5"/>
  <c r="W23" i="5"/>
  <c r="X23" i="5"/>
  <c r="Y23" i="5"/>
  <c r="Z23" i="5"/>
  <c r="W22" i="5"/>
  <c r="X22" i="5"/>
  <c r="Y22" i="5"/>
  <c r="Z22" i="5"/>
  <c r="W21" i="5"/>
  <c r="X21" i="5"/>
  <c r="Y21" i="5"/>
  <c r="Z21" i="5"/>
  <c r="W20" i="5"/>
  <c r="X20" i="5"/>
  <c r="Y20" i="5"/>
  <c r="Z20" i="5"/>
  <c r="W19" i="5"/>
  <c r="X19" i="5"/>
  <c r="Y19" i="5"/>
  <c r="Z19" i="5"/>
  <c r="W18" i="5"/>
  <c r="W17" i="5" s="1"/>
  <c r="X18" i="5"/>
  <c r="X17" i="5" s="1"/>
  <c r="Y18" i="5"/>
  <c r="Y17" i="5" s="1"/>
  <c r="Z18" i="5"/>
  <c r="Z17" i="5" s="1"/>
  <c r="W16" i="5"/>
  <c r="X16" i="5"/>
  <c r="Y16" i="5"/>
  <c r="Z16" i="5"/>
  <c r="W15" i="5"/>
  <c r="X15" i="5"/>
  <c r="Y15" i="5"/>
  <c r="Z15" i="5"/>
  <c r="W14" i="5"/>
  <c r="X14" i="5"/>
  <c r="Y14" i="5"/>
  <c r="Z14" i="5"/>
  <c r="W13" i="5"/>
  <c r="X13" i="5"/>
  <c r="Y13" i="5"/>
  <c r="Z13" i="5"/>
  <c r="W12" i="5"/>
  <c r="X12" i="5"/>
  <c r="Y12" i="5"/>
  <c r="Z12" i="5"/>
  <c r="W11" i="5"/>
  <c r="X11" i="5"/>
  <c r="Y11" i="5"/>
  <c r="Z11" i="5"/>
  <c r="W10" i="5"/>
  <c r="X10" i="5"/>
  <c r="Y10" i="5"/>
  <c r="Z10" i="5"/>
  <c r="W9" i="5"/>
  <c r="W8" i="5" s="1"/>
  <c r="X9" i="5"/>
  <c r="X8" i="5" s="1"/>
  <c r="Y9" i="5"/>
  <c r="Y8" i="5" s="1"/>
  <c r="Z9" i="5"/>
  <c r="Z8" i="5" s="1"/>
  <c r="K238" i="4"/>
  <c r="K237" i="4" s="1"/>
  <c r="L238" i="4"/>
  <c r="L237" i="4" s="1"/>
  <c r="M238" i="4"/>
  <c r="M237" i="4" s="1"/>
  <c r="N238" i="4"/>
  <c r="N237" i="4" s="1"/>
  <c r="K236" i="4"/>
  <c r="K235" i="4" s="1"/>
  <c r="L236" i="4"/>
  <c r="L235" i="4" s="1"/>
  <c r="M236" i="4"/>
  <c r="M235" i="4" s="1"/>
  <c r="N236" i="4"/>
  <c r="N235" i="4" s="1"/>
  <c r="K234" i="4"/>
  <c r="K233" i="4" s="1"/>
  <c r="L234" i="4"/>
  <c r="L233" i="4" s="1"/>
  <c r="M234" i="4"/>
  <c r="M233" i="4" s="1"/>
  <c r="N234" i="4"/>
  <c r="N233" i="4" s="1"/>
  <c r="K232" i="4"/>
  <c r="K231" i="4" s="1"/>
  <c r="L232" i="4"/>
  <c r="L231" i="4" s="1"/>
  <c r="M232" i="4"/>
  <c r="M231" i="4" s="1"/>
  <c r="N232" i="4"/>
  <c r="N231" i="4" s="1"/>
  <c r="K230" i="4"/>
  <c r="K229" i="4" s="1"/>
  <c r="L230" i="4"/>
  <c r="L229" i="4" s="1"/>
  <c r="M230" i="4"/>
  <c r="M229" i="4" s="1"/>
  <c r="N230" i="4"/>
  <c r="N229" i="4" s="1"/>
  <c r="L228" i="4"/>
  <c r="L227" i="4" s="1"/>
  <c r="M228" i="4"/>
  <c r="M227" i="4" s="1"/>
  <c r="N228" i="4"/>
  <c r="N227" i="4" s="1"/>
  <c r="K228" i="4"/>
  <c r="K227" i="4" s="1"/>
  <c r="H225" i="4"/>
  <c r="I225" i="4" s="1"/>
  <c r="J225" i="4" s="1"/>
  <c r="I226" i="4"/>
  <c r="J226" i="4" s="1"/>
  <c r="K224" i="4"/>
  <c r="K223" i="4" s="1"/>
  <c r="L224" i="4"/>
  <c r="L223" i="4" s="1"/>
  <c r="M224" i="4"/>
  <c r="M223" i="4" s="1"/>
  <c r="N224" i="4"/>
  <c r="N223" i="4" s="1"/>
  <c r="K222" i="4"/>
  <c r="L222" i="4"/>
  <c r="M222" i="4"/>
  <c r="N222" i="4"/>
  <c r="H219" i="4"/>
  <c r="I219" i="4" s="1"/>
  <c r="J219" i="4" s="1"/>
  <c r="I221" i="4"/>
  <c r="J221" i="4" s="1"/>
  <c r="L220" i="4"/>
  <c r="L219" i="4" s="1"/>
  <c r="N220" i="4"/>
  <c r="N219" i="4" s="1"/>
  <c r="K220" i="4"/>
  <c r="K219" i="4" s="1"/>
  <c r="M220" i="4"/>
  <c r="M219" i="4" s="1"/>
  <c r="K218" i="4"/>
  <c r="K217" i="4" s="1"/>
  <c r="L218" i="4"/>
  <c r="L217" i="4" s="1"/>
  <c r="M218" i="4"/>
  <c r="M217" i="4" s="1"/>
  <c r="N218" i="4"/>
  <c r="N217" i="4" s="1"/>
  <c r="L216" i="4"/>
  <c r="K216" i="4"/>
  <c r="M216" i="4"/>
  <c r="N216" i="4"/>
  <c r="H214" i="4"/>
  <c r="I214" i="4" s="1"/>
  <c r="J214" i="4" s="1"/>
  <c r="I215" i="4"/>
  <c r="J215" i="4" s="1"/>
  <c r="L213" i="4"/>
  <c r="N213" i="4"/>
  <c r="K213" i="4"/>
  <c r="M213" i="4"/>
  <c r="L212" i="4"/>
  <c r="N212" i="4"/>
  <c r="K212" i="4"/>
  <c r="M212" i="4"/>
  <c r="L211" i="4"/>
  <c r="L210" i="4" s="1"/>
  <c r="M211" i="4"/>
  <c r="M210" i="4" s="1"/>
  <c r="K211" i="4"/>
  <c r="K210" i="4" s="1"/>
  <c r="N211" i="4"/>
  <c r="N210" i="4" s="1"/>
  <c r="M209" i="4"/>
  <c r="N209" i="4"/>
  <c r="K209" i="4"/>
  <c r="L209" i="4"/>
  <c r="K208" i="4"/>
  <c r="K207" i="4" s="1"/>
  <c r="N208" i="4"/>
  <c r="N207" i="4" s="1"/>
  <c r="L208" i="4"/>
  <c r="L207" i="4" s="1"/>
  <c r="M208" i="4"/>
  <c r="M207" i="4" s="1"/>
  <c r="M206" i="4"/>
  <c r="M205" i="4" s="1"/>
  <c r="L206" i="4"/>
  <c r="L205" i="4" s="1"/>
  <c r="N206" i="4"/>
  <c r="N205" i="4" s="1"/>
  <c r="K206" i="4"/>
  <c r="K205" i="4" s="1"/>
  <c r="O239" i="4"/>
  <c r="Q239" i="4" s="1"/>
  <c r="Q205" i="4"/>
  <c r="H239" i="4"/>
  <c r="I239" i="4" s="1"/>
  <c r="J239" i="4" s="1"/>
  <c r="I205" i="4"/>
  <c r="J205" i="4" s="1"/>
  <c r="K202" i="4"/>
  <c r="M202" i="4"/>
  <c r="N202" i="4"/>
  <c r="L202" i="4"/>
  <c r="K201" i="4"/>
  <c r="K200" i="4" s="1"/>
  <c r="M201" i="4"/>
  <c r="M200" i="4" s="1"/>
  <c r="N201" i="4"/>
  <c r="N200" i="4" s="1"/>
  <c r="L201" i="4"/>
  <c r="L200" i="4" s="1"/>
  <c r="K199" i="4"/>
  <c r="L199" i="4"/>
  <c r="M199" i="4"/>
  <c r="N199" i="4"/>
  <c r="L198" i="4"/>
  <c r="L197" i="4" s="1"/>
  <c r="K198" i="4"/>
  <c r="K197" i="4" s="1"/>
  <c r="M198" i="4"/>
  <c r="M197" i="4" s="1"/>
  <c r="N198" i="4"/>
  <c r="N197" i="4" s="1"/>
  <c r="L196" i="4"/>
  <c r="M196" i="4"/>
  <c r="N196" i="4"/>
  <c r="K196" i="4"/>
  <c r="K195" i="4"/>
  <c r="K194" i="4" s="1"/>
  <c r="L195" i="4"/>
  <c r="L194" i="4" s="1"/>
  <c r="M195" i="4"/>
  <c r="M194" i="4" s="1"/>
  <c r="N195" i="4"/>
  <c r="N194" i="4" s="1"/>
  <c r="L193" i="4"/>
  <c r="N193" i="4"/>
  <c r="K193" i="4"/>
  <c r="M193" i="4"/>
  <c r="K192" i="4"/>
  <c r="L192" i="4"/>
  <c r="M192" i="4"/>
  <c r="N192" i="4"/>
  <c r="K191" i="4"/>
  <c r="L191" i="4"/>
  <c r="M191" i="4"/>
  <c r="N191" i="4"/>
  <c r="H189" i="4"/>
  <c r="I190" i="4"/>
  <c r="J190" i="4" s="1"/>
  <c r="O203" i="4"/>
  <c r="Q203" i="4" s="1"/>
  <c r="Q189" i="4"/>
  <c r="L186" i="4"/>
  <c r="M186" i="4"/>
  <c r="N186" i="4"/>
  <c r="K186" i="4"/>
  <c r="L185" i="4"/>
  <c r="N185" i="4"/>
  <c r="K185" i="4"/>
  <c r="M185" i="4"/>
  <c r="I184" i="4"/>
  <c r="J184" i="4" s="1"/>
  <c r="H183" i="4"/>
  <c r="I183" i="4" s="1"/>
  <c r="J183" i="4" s="1"/>
  <c r="M182" i="4"/>
  <c r="M181" i="4" s="1"/>
  <c r="L182" i="4"/>
  <c r="L181" i="4" s="1"/>
  <c r="K182" i="4"/>
  <c r="K181" i="4" s="1"/>
  <c r="N182" i="4"/>
  <c r="N181" i="4" s="1"/>
  <c r="M180" i="4"/>
  <c r="K180" i="4"/>
  <c r="N180" i="4"/>
  <c r="L180" i="4"/>
  <c r="L179" i="4"/>
  <c r="L178" i="4" s="1"/>
  <c r="M179" i="4"/>
  <c r="M178" i="4" s="1"/>
  <c r="N179" i="4"/>
  <c r="N178" i="4" s="1"/>
  <c r="K179" i="4"/>
  <c r="K178" i="4" s="1"/>
  <c r="L177" i="4"/>
  <c r="K177" i="4"/>
  <c r="M177" i="4"/>
  <c r="N177" i="4"/>
  <c r="H175" i="4"/>
  <c r="I175" i="4" s="1"/>
  <c r="J175" i="4" s="1"/>
  <c r="I176" i="4"/>
  <c r="J176" i="4" s="1"/>
  <c r="M174" i="4"/>
  <c r="K174" i="4"/>
  <c r="L174" i="4"/>
  <c r="N174" i="4"/>
  <c r="K173" i="4"/>
  <c r="L173" i="4"/>
  <c r="M173" i="4"/>
  <c r="N173" i="4"/>
  <c r="L172" i="4"/>
  <c r="K172" i="4"/>
  <c r="M172" i="4"/>
  <c r="N172" i="4"/>
  <c r="L171" i="4"/>
  <c r="L170" i="4" s="1"/>
  <c r="K171" i="4"/>
  <c r="K170" i="4" s="1"/>
  <c r="M171" i="4"/>
  <c r="M170" i="4" s="1"/>
  <c r="N171" i="4"/>
  <c r="N170" i="4" s="1"/>
  <c r="Q170" i="4"/>
  <c r="O187" i="4"/>
  <c r="Q187" i="4" s="1"/>
  <c r="I170" i="4"/>
  <c r="J170" i="4" s="1"/>
  <c r="H187" i="4"/>
  <c r="I187" i="4" s="1"/>
  <c r="J187" i="4" s="1"/>
  <c r="L167" i="4"/>
  <c r="M167" i="4"/>
  <c r="N167" i="4"/>
  <c r="K167" i="4"/>
  <c r="L166" i="4"/>
  <c r="N166" i="4"/>
  <c r="K166" i="4"/>
  <c r="M166" i="4"/>
  <c r="L165" i="4"/>
  <c r="M165" i="4"/>
  <c r="N165" i="4"/>
  <c r="K165" i="4"/>
  <c r="H160" i="4"/>
  <c r="I160" i="4" s="1"/>
  <c r="J160" i="4" s="1"/>
  <c r="I164" i="4"/>
  <c r="J164" i="4" s="1"/>
  <c r="O160" i="4"/>
  <c r="Q160" i="4" s="1"/>
  <c r="Q163" i="4"/>
  <c r="K163" i="4"/>
  <c r="L163" i="4"/>
  <c r="M163" i="4"/>
  <c r="N163" i="4"/>
  <c r="K162" i="4"/>
  <c r="L162" i="4"/>
  <c r="M162" i="4"/>
  <c r="N162" i="4"/>
  <c r="K161" i="4"/>
  <c r="K160" i="4" s="1"/>
  <c r="L161" i="4"/>
  <c r="L160" i="4" s="1"/>
  <c r="M161" i="4"/>
  <c r="M160" i="4" s="1"/>
  <c r="N161" i="4"/>
  <c r="N160" i="4" s="1"/>
  <c r="K159" i="4"/>
  <c r="L159" i="4"/>
  <c r="M159" i="4"/>
  <c r="N159" i="4"/>
  <c r="K158" i="4"/>
  <c r="L158" i="4"/>
  <c r="M158" i="4"/>
  <c r="N158" i="4"/>
  <c r="K157" i="4"/>
  <c r="L157" i="4"/>
  <c r="M157" i="4"/>
  <c r="N157" i="4"/>
  <c r="M156" i="4"/>
  <c r="K156" i="4"/>
  <c r="N156" i="4"/>
  <c r="L156" i="4"/>
  <c r="K155" i="4"/>
  <c r="M155" i="4"/>
  <c r="L155" i="4"/>
  <c r="N155" i="4"/>
  <c r="K154" i="4"/>
  <c r="M154" i="4"/>
  <c r="L154" i="4"/>
  <c r="N154" i="4"/>
  <c r="M153" i="4"/>
  <c r="L153" i="4"/>
  <c r="N153" i="4"/>
  <c r="K153" i="4"/>
  <c r="H151" i="4"/>
  <c r="I152" i="4"/>
  <c r="J152" i="4" s="1"/>
  <c r="Q151" i="4"/>
  <c r="O168" i="4"/>
  <c r="Q168" i="4" s="1"/>
  <c r="H147" i="4"/>
  <c r="I147" i="4" s="1"/>
  <c r="J147" i="4" s="1"/>
  <c r="I148" i="4"/>
  <c r="J148" i="4" s="1"/>
  <c r="I146" i="4"/>
  <c r="J146" i="4" s="1"/>
  <c r="H145" i="4"/>
  <c r="I145" i="4" s="1"/>
  <c r="J145" i="4" s="1"/>
  <c r="M144" i="4"/>
  <c r="N144" i="4"/>
  <c r="K144" i="4"/>
  <c r="L144" i="4"/>
  <c r="L143" i="4"/>
  <c r="N143" i="4"/>
  <c r="K143" i="4"/>
  <c r="M143" i="4"/>
  <c r="L142" i="4"/>
  <c r="L141" i="4" s="1"/>
  <c r="N142" i="4"/>
  <c r="N141" i="4" s="1"/>
  <c r="K142" i="4"/>
  <c r="K141" i="4" s="1"/>
  <c r="M142" i="4"/>
  <c r="M141" i="4" s="1"/>
  <c r="M140" i="4"/>
  <c r="N140" i="4"/>
  <c r="K140" i="4"/>
  <c r="L140" i="4"/>
  <c r="H138" i="4"/>
  <c r="I138" i="4" s="1"/>
  <c r="J138" i="4" s="1"/>
  <c r="I139" i="4"/>
  <c r="J139" i="4" s="1"/>
  <c r="I137" i="4"/>
  <c r="J137" i="4" s="1"/>
  <c r="H136" i="4"/>
  <c r="Q136" i="4"/>
  <c r="O149" i="4"/>
  <c r="Q149" i="4" s="1"/>
  <c r="M133" i="4"/>
  <c r="K133" i="4"/>
  <c r="L133" i="4"/>
  <c r="N133" i="4"/>
  <c r="L132" i="4"/>
  <c r="M132" i="4"/>
  <c r="N132" i="4"/>
  <c r="K132" i="4"/>
  <c r="K131" i="4"/>
  <c r="L131" i="4"/>
  <c r="M131" i="4"/>
  <c r="N131" i="4"/>
  <c r="L130" i="4"/>
  <c r="N130" i="4"/>
  <c r="K130" i="4"/>
  <c r="M130" i="4"/>
  <c r="K129" i="4"/>
  <c r="K128" i="4" s="1"/>
  <c r="L129" i="4"/>
  <c r="L128" i="4" s="1"/>
  <c r="M129" i="4"/>
  <c r="M128" i="4" s="1"/>
  <c r="N129" i="4"/>
  <c r="N128" i="4" s="1"/>
  <c r="M127" i="4"/>
  <c r="L127" i="4"/>
  <c r="K127" i="4"/>
  <c r="N127" i="4"/>
  <c r="L126" i="4"/>
  <c r="K126" i="4"/>
  <c r="M126" i="4"/>
  <c r="N126" i="4"/>
  <c r="L125" i="4"/>
  <c r="M125" i="4"/>
  <c r="N125" i="4"/>
  <c r="K125" i="4"/>
  <c r="I124" i="4"/>
  <c r="J124" i="4" s="1"/>
  <c r="H123" i="4"/>
  <c r="I123" i="4" s="1"/>
  <c r="J123" i="4" s="1"/>
  <c r="N122" i="4"/>
  <c r="L122" i="4"/>
  <c r="K122" i="4"/>
  <c r="M122" i="4"/>
  <c r="L121" i="4"/>
  <c r="L120" i="4" s="1"/>
  <c r="N121" i="4"/>
  <c r="N120" i="4" s="1"/>
  <c r="K121" i="4"/>
  <c r="K120" i="4" s="1"/>
  <c r="M121" i="4"/>
  <c r="M120" i="4" s="1"/>
  <c r="K119" i="4"/>
  <c r="L119" i="4"/>
  <c r="M119" i="4"/>
  <c r="N119" i="4"/>
  <c r="L118" i="4"/>
  <c r="L117" i="4" s="1"/>
  <c r="K118" i="4"/>
  <c r="K117" i="4" s="1"/>
  <c r="M118" i="4"/>
  <c r="M117" i="4" s="1"/>
  <c r="N118" i="4"/>
  <c r="N117" i="4" s="1"/>
  <c r="K116" i="4"/>
  <c r="M116" i="4"/>
  <c r="N116" i="4"/>
  <c r="L116" i="4"/>
  <c r="K115" i="4"/>
  <c r="K114" i="4" s="1"/>
  <c r="M115" i="4"/>
  <c r="M114" i="4" s="1"/>
  <c r="N115" i="4"/>
  <c r="N114" i="4" s="1"/>
  <c r="L115" i="4"/>
  <c r="L114" i="4" s="1"/>
  <c r="K113" i="4"/>
  <c r="M113" i="4"/>
  <c r="L113" i="4"/>
  <c r="N113" i="4"/>
  <c r="I112" i="4"/>
  <c r="J112" i="4" s="1"/>
  <c r="H111" i="4"/>
  <c r="I111" i="4" s="1"/>
  <c r="J111" i="4" s="1"/>
  <c r="I110" i="4"/>
  <c r="J110" i="4" s="1"/>
  <c r="H109" i="4"/>
  <c r="Q109" i="4"/>
  <c r="O134" i="4"/>
  <c r="Q134" i="4" s="1"/>
  <c r="I106" i="4"/>
  <c r="J106" i="4" s="1"/>
  <c r="H104" i="4"/>
  <c r="I104" i="4" s="1"/>
  <c r="J104" i="4" s="1"/>
  <c r="L105" i="4"/>
  <c r="L104" i="4" s="1"/>
  <c r="K105" i="4"/>
  <c r="K104" i="4" s="1"/>
  <c r="M105" i="4"/>
  <c r="M104" i="4" s="1"/>
  <c r="N105" i="4"/>
  <c r="N104" i="4" s="1"/>
  <c r="L103" i="4"/>
  <c r="K103" i="4"/>
  <c r="M103" i="4"/>
  <c r="N103" i="4"/>
  <c r="L102" i="4"/>
  <c r="M102" i="4"/>
  <c r="K102" i="4"/>
  <c r="N102" i="4"/>
  <c r="I101" i="4"/>
  <c r="J101" i="4" s="1"/>
  <c r="H100" i="4"/>
  <c r="I100" i="4" s="1"/>
  <c r="J100" i="4" s="1"/>
  <c r="K99" i="4"/>
  <c r="L99" i="4"/>
  <c r="M99" i="4"/>
  <c r="N99" i="4"/>
  <c r="M98" i="4"/>
  <c r="M97" i="4" s="1"/>
  <c r="K98" i="4"/>
  <c r="K97" i="4" s="1"/>
  <c r="L98" i="4"/>
  <c r="L97" i="4" s="1"/>
  <c r="N98" i="4"/>
  <c r="N97" i="4" s="1"/>
  <c r="M96" i="4"/>
  <c r="K96" i="4"/>
  <c r="L96" i="4"/>
  <c r="N96" i="4"/>
  <c r="L95" i="4"/>
  <c r="K95" i="4"/>
  <c r="M95" i="4"/>
  <c r="N95" i="4"/>
  <c r="H93" i="4"/>
  <c r="I93" i="4" s="1"/>
  <c r="J93" i="4" s="1"/>
  <c r="I94" i="4"/>
  <c r="J94" i="4" s="1"/>
  <c r="L92" i="4"/>
  <c r="M92" i="4"/>
  <c r="N92" i="4"/>
  <c r="K92" i="4"/>
  <c r="I91" i="4"/>
  <c r="J91" i="4" s="1"/>
  <c r="H90" i="4"/>
  <c r="I90" i="4" s="1"/>
  <c r="J90" i="4" s="1"/>
  <c r="L89" i="4"/>
  <c r="N89" i="4"/>
  <c r="K89" i="4"/>
  <c r="M89" i="4"/>
  <c r="I88" i="4"/>
  <c r="J88" i="4" s="1"/>
  <c r="H86" i="4"/>
  <c r="Q87" i="4"/>
  <c r="O86" i="4"/>
  <c r="K87" i="4"/>
  <c r="K86" i="4" s="1"/>
  <c r="L87" i="4"/>
  <c r="L86" i="4" s="1"/>
  <c r="M87" i="4"/>
  <c r="M86" i="4" s="1"/>
  <c r="N87" i="4"/>
  <c r="N86" i="4" s="1"/>
  <c r="K85" i="4"/>
  <c r="L85" i="4"/>
  <c r="M85" i="4"/>
  <c r="N85" i="4"/>
  <c r="K84" i="4"/>
  <c r="K83" i="4" s="1"/>
  <c r="L84" i="4"/>
  <c r="L83" i="4" s="1"/>
  <c r="M84" i="4"/>
  <c r="M83" i="4" s="1"/>
  <c r="N84" i="4"/>
  <c r="N83" i="4" s="1"/>
  <c r="K82" i="4"/>
  <c r="L82" i="4"/>
  <c r="M82" i="4"/>
  <c r="N82" i="4"/>
  <c r="K81" i="4"/>
  <c r="L81" i="4"/>
  <c r="M81" i="4"/>
  <c r="N81" i="4"/>
  <c r="K80" i="4"/>
  <c r="K79" i="4" s="1"/>
  <c r="L80" i="4"/>
  <c r="L79" i="4" s="1"/>
  <c r="M80" i="4"/>
  <c r="M79" i="4" s="1"/>
  <c r="N80" i="4"/>
  <c r="N79" i="4" s="1"/>
  <c r="K76" i="4"/>
  <c r="L76" i="4"/>
  <c r="M76" i="4"/>
  <c r="N76" i="4"/>
  <c r="K75" i="4"/>
  <c r="L75" i="4"/>
  <c r="M75" i="4"/>
  <c r="N75" i="4"/>
  <c r="K74" i="4"/>
  <c r="L74" i="4"/>
  <c r="M74" i="4"/>
  <c r="N74" i="4"/>
  <c r="K73" i="4"/>
  <c r="L73" i="4"/>
  <c r="M73" i="4"/>
  <c r="N73" i="4"/>
  <c r="I72" i="4"/>
  <c r="J72" i="4" s="1"/>
  <c r="H71" i="4"/>
  <c r="I71" i="4" s="1"/>
  <c r="J71" i="4" s="1"/>
  <c r="K70" i="4"/>
  <c r="L70" i="4"/>
  <c r="M70" i="4"/>
  <c r="N70" i="4"/>
  <c r="K69" i="4"/>
  <c r="L69" i="4"/>
  <c r="M69" i="4"/>
  <c r="N69" i="4"/>
  <c r="K68" i="4"/>
  <c r="L68" i="4"/>
  <c r="M68" i="4"/>
  <c r="N68" i="4"/>
  <c r="I67" i="4"/>
  <c r="J67" i="4" s="1"/>
  <c r="H66" i="4"/>
  <c r="I66" i="4" s="1"/>
  <c r="J66" i="4" s="1"/>
  <c r="K65" i="4"/>
  <c r="L65" i="4"/>
  <c r="M65" i="4"/>
  <c r="N65" i="4"/>
  <c r="K64" i="4"/>
  <c r="L64" i="4"/>
  <c r="M64" i="4"/>
  <c r="N64" i="4"/>
  <c r="I63" i="4"/>
  <c r="J63" i="4" s="1"/>
  <c r="H62" i="4"/>
  <c r="I62" i="4" s="1"/>
  <c r="J62" i="4" s="1"/>
  <c r="K61" i="4"/>
  <c r="L61" i="4"/>
  <c r="M61" i="4"/>
  <c r="N61" i="4"/>
  <c r="K60" i="4"/>
  <c r="L60" i="4"/>
  <c r="M60" i="4"/>
  <c r="N60" i="4"/>
  <c r="I59" i="4"/>
  <c r="J59" i="4" s="1"/>
  <c r="H58" i="4"/>
  <c r="I58" i="4" s="1"/>
  <c r="J58" i="4" s="1"/>
  <c r="K57" i="4"/>
  <c r="L57" i="4"/>
  <c r="M57" i="4"/>
  <c r="N57" i="4"/>
  <c r="K56" i="4"/>
  <c r="L56" i="4"/>
  <c r="M56" i="4"/>
  <c r="N56" i="4"/>
  <c r="I55" i="4"/>
  <c r="J55" i="4" s="1"/>
  <c r="H54" i="4"/>
  <c r="I54" i="4" s="1"/>
  <c r="J54" i="4" s="1"/>
  <c r="K53" i="4"/>
  <c r="L53" i="4"/>
  <c r="M53" i="4"/>
  <c r="N53" i="4"/>
  <c r="K52" i="4"/>
  <c r="L52" i="4"/>
  <c r="M52" i="4"/>
  <c r="N52" i="4"/>
  <c r="I51" i="4"/>
  <c r="J51" i="4" s="1"/>
  <c r="H50" i="4"/>
  <c r="I50" i="4" s="1"/>
  <c r="J50" i="4" s="1"/>
  <c r="K49" i="4"/>
  <c r="L49" i="4"/>
  <c r="M49" i="4"/>
  <c r="N49" i="4"/>
  <c r="K48" i="4"/>
  <c r="L48" i="4"/>
  <c r="M48" i="4"/>
  <c r="N48" i="4"/>
  <c r="K47" i="4"/>
  <c r="L47" i="4"/>
  <c r="M47" i="4"/>
  <c r="N47" i="4"/>
  <c r="K46" i="4"/>
  <c r="L46" i="4"/>
  <c r="M46" i="4"/>
  <c r="N46" i="4"/>
  <c r="I45" i="4"/>
  <c r="J45" i="4" s="1"/>
  <c r="H44" i="4"/>
  <c r="I44" i="4" s="1"/>
  <c r="J44" i="4" s="1"/>
  <c r="K43" i="4"/>
  <c r="L43" i="4"/>
  <c r="M43" i="4"/>
  <c r="N43" i="4"/>
  <c r="K42" i="4"/>
  <c r="L42" i="4"/>
  <c r="M42" i="4"/>
  <c r="N42" i="4"/>
  <c r="K41" i="4"/>
  <c r="L41" i="4"/>
  <c r="M41" i="4"/>
  <c r="N41" i="4"/>
  <c r="K40" i="4"/>
  <c r="L40" i="4"/>
  <c r="M40" i="4"/>
  <c r="N40" i="4"/>
  <c r="I39" i="4"/>
  <c r="J39" i="4" s="1"/>
  <c r="H38" i="4"/>
  <c r="O77" i="4"/>
  <c r="Q77" i="4" s="1"/>
  <c r="Q38" i="4"/>
  <c r="K35" i="4"/>
  <c r="L35" i="4"/>
  <c r="M35" i="4"/>
  <c r="N35" i="4"/>
  <c r="K34" i="4"/>
  <c r="K33" i="4" s="1"/>
  <c r="L34" i="4"/>
  <c r="L33" i="4" s="1"/>
  <c r="M34" i="4"/>
  <c r="M33" i="4" s="1"/>
  <c r="N34" i="4"/>
  <c r="N33" i="4" s="1"/>
  <c r="K32" i="4"/>
  <c r="L32" i="4"/>
  <c r="M32" i="4"/>
  <c r="N32" i="4"/>
  <c r="K31" i="4"/>
  <c r="L31" i="4"/>
  <c r="M31" i="4"/>
  <c r="N31" i="4"/>
  <c r="K30" i="4"/>
  <c r="L30" i="4"/>
  <c r="M30" i="4"/>
  <c r="N30" i="4"/>
  <c r="K29" i="4"/>
  <c r="L29" i="4"/>
  <c r="M29" i="4"/>
  <c r="N29" i="4"/>
  <c r="K28" i="4"/>
  <c r="K27" i="4" s="1"/>
  <c r="L28" i="4"/>
  <c r="L27" i="4" s="1"/>
  <c r="M28" i="4"/>
  <c r="M27" i="4" s="1"/>
  <c r="N28" i="4"/>
  <c r="N27" i="4" s="1"/>
  <c r="K26" i="4"/>
  <c r="L26" i="4"/>
  <c r="M26" i="4"/>
  <c r="N26" i="4"/>
  <c r="L25" i="4"/>
  <c r="K25" i="4"/>
  <c r="M25" i="4"/>
  <c r="N25" i="4"/>
  <c r="L24" i="4"/>
  <c r="L23" i="4" s="1"/>
  <c r="M24" i="4"/>
  <c r="M23" i="4" s="1"/>
  <c r="K24" i="4"/>
  <c r="K23" i="4" s="1"/>
  <c r="N24" i="4"/>
  <c r="N23" i="4" s="1"/>
  <c r="M22" i="4"/>
  <c r="K22" i="4"/>
  <c r="N22" i="4"/>
  <c r="L22" i="4"/>
  <c r="I21" i="4"/>
  <c r="J21" i="4" s="1"/>
  <c r="H15" i="4"/>
  <c r="Q20" i="4"/>
  <c r="O15" i="4"/>
  <c r="K20" i="4"/>
  <c r="L20" i="4"/>
  <c r="M20" i="4"/>
  <c r="N20" i="4"/>
  <c r="K19" i="4"/>
  <c r="L19" i="4"/>
  <c r="M19" i="4"/>
  <c r="N19" i="4"/>
  <c r="K18" i="4"/>
  <c r="L18" i="4"/>
  <c r="M18" i="4"/>
  <c r="N18" i="4"/>
  <c r="K17" i="4"/>
  <c r="L17" i="4"/>
  <c r="M17" i="4"/>
  <c r="N17" i="4"/>
  <c r="K16" i="4"/>
  <c r="K15" i="4" s="1"/>
  <c r="L16" i="4"/>
  <c r="L15" i="4" s="1"/>
  <c r="M16" i="4"/>
  <c r="M15" i="4" s="1"/>
  <c r="N16" i="4"/>
  <c r="N15" i="4" s="1"/>
  <c r="K14" i="4"/>
  <c r="L14" i="4"/>
  <c r="M14" i="4"/>
  <c r="N14" i="4"/>
  <c r="K13" i="4"/>
  <c r="L13" i="4"/>
  <c r="M13" i="4"/>
  <c r="N13" i="4"/>
  <c r="K12" i="4"/>
  <c r="L12" i="4"/>
  <c r="M12" i="4"/>
  <c r="N12" i="4"/>
  <c r="K11" i="4"/>
  <c r="L11" i="4"/>
  <c r="M11" i="4"/>
  <c r="N11" i="4"/>
  <c r="K10" i="4"/>
  <c r="L10" i="4"/>
  <c r="M10" i="4"/>
  <c r="N10" i="4"/>
  <c r="K9" i="4"/>
  <c r="L9" i="4"/>
  <c r="M9" i="4"/>
  <c r="N9" i="4"/>
  <c r="K8" i="4"/>
  <c r="L8" i="4"/>
  <c r="M8" i="4"/>
  <c r="N8" i="4"/>
  <c r="K7" i="4"/>
  <c r="K6" i="4" s="1"/>
  <c r="L7" i="4"/>
  <c r="L6" i="4" s="1"/>
  <c r="M7" i="4"/>
  <c r="M6" i="4" s="1"/>
  <c r="N7" i="4"/>
  <c r="N6" i="4" s="1"/>
  <c r="P240" i="4"/>
  <c r="W14" i="8" l="1"/>
  <c r="W13" i="8" s="1"/>
  <c r="W33" i="8" s="1"/>
  <c r="X14" i="8"/>
  <c r="X13" i="8" s="1"/>
  <c r="X33" i="8" s="1"/>
  <c r="Y14" i="8"/>
  <c r="Y13" i="8" s="1"/>
  <c r="Y33" i="8" s="1"/>
  <c r="Z14" i="8"/>
  <c r="Z13" i="8" s="1"/>
  <c r="Z33" i="8" s="1"/>
  <c r="M226" i="4"/>
  <c r="M225" i="4" s="1"/>
  <c r="K226" i="4"/>
  <c r="K225" i="4" s="1"/>
  <c r="L226" i="4"/>
  <c r="L225" i="4" s="1"/>
  <c r="N226" i="4"/>
  <c r="N225" i="4" s="1"/>
  <c r="K221" i="4"/>
  <c r="L221" i="4"/>
  <c r="M221" i="4"/>
  <c r="N221" i="4"/>
  <c r="M215" i="4"/>
  <c r="M214" i="4" s="1"/>
  <c r="M239" i="4" s="1"/>
  <c r="K215" i="4"/>
  <c r="K214" i="4" s="1"/>
  <c r="K239" i="4" s="1"/>
  <c r="L215" i="4"/>
  <c r="L214" i="4" s="1"/>
  <c r="L239" i="4" s="1"/>
  <c r="N215" i="4"/>
  <c r="N214" i="4" s="1"/>
  <c r="N239" i="4" s="1"/>
  <c r="H203" i="4"/>
  <c r="I203" i="4" s="1"/>
  <c r="J203" i="4" s="1"/>
  <c r="I189" i="4"/>
  <c r="J189" i="4" s="1"/>
  <c r="L190" i="4"/>
  <c r="L189" i="4" s="1"/>
  <c r="L203" i="4" s="1"/>
  <c r="N190" i="4"/>
  <c r="N189" i="4" s="1"/>
  <c r="N203" i="4" s="1"/>
  <c r="K190" i="4"/>
  <c r="K189" i="4" s="1"/>
  <c r="K203" i="4" s="1"/>
  <c r="M190" i="4"/>
  <c r="M189" i="4" s="1"/>
  <c r="M203" i="4" s="1"/>
  <c r="L184" i="4"/>
  <c r="L183" i="4" s="1"/>
  <c r="K184" i="4"/>
  <c r="K183" i="4" s="1"/>
  <c r="M184" i="4"/>
  <c r="M183" i="4" s="1"/>
  <c r="N184" i="4"/>
  <c r="N183" i="4" s="1"/>
  <c r="L176" i="4"/>
  <c r="L175" i="4" s="1"/>
  <c r="L187" i="4" s="1"/>
  <c r="M176" i="4"/>
  <c r="M175" i="4" s="1"/>
  <c r="M187" i="4" s="1"/>
  <c r="N176" i="4"/>
  <c r="N175" i="4" s="1"/>
  <c r="K176" i="4"/>
  <c r="K175" i="4" s="1"/>
  <c r="L164" i="4"/>
  <c r="M164" i="4"/>
  <c r="K164" i="4"/>
  <c r="N164" i="4"/>
  <c r="I151" i="4"/>
  <c r="J151" i="4" s="1"/>
  <c r="H168" i="4"/>
  <c r="I168" i="4" s="1"/>
  <c r="J168" i="4" s="1"/>
  <c r="L152" i="4"/>
  <c r="L151" i="4" s="1"/>
  <c r="L168" i="4" s="1"/>
  <c r="K152" i="4"/>
  <c r="K151" i="4" s="1"/>
  <c r="K168" i="4" s="1"/>
  <c r="M152" i="4"/>
  <c r="M151" i="4" s="1"/>
  <c r="M168" i="4" s="1"/>
  <c r="N152" i="4"/>
  <c r="N151" i="4" s="1"/>
  <c r="N168" i="4" s="1"/>
  <c r="N148" i="4"/>
  <c r="N147" i="4" s="1"/>
  <c r="K148" i="4"/>
  <c r="K147" i="4" s="1"/>
  <c r="L148" i="4"/>
  <c r="L147" i="4" s="1"/>
  <c r="M148" i="4"/>
  <c r="M147" i="4" s="1"/>
  <c r="L146" i="4"/>
  <c r="L145" i="4" s="1"/>
  <c r="M146" i="4"/>
  <c r="M145" i="4" s="1"/>
  <c r="N146" i="4"/>
  <c r="N145" i="4" s="1"/>
  <c r="K146" i="4"/>
  <c r="K145" i="4" s="1"/>
  <c r="M139" i="4"/>
  <c r="M138" i="4" s="1"/>
  <c r="K139" i="4"/>
  <c r="K138" i="4" s="1"/>
  <c r="L139" i="4"/>
  <c r="L138" i="4" s="1"/>
  <c r="N139" i="4"/>
  <c r="N138" i="4" s="1"/>
  <c r="M137" i="4"/>
  <c r="M136" i="4" s="1"/>
  <c r="M149" i="4" s="1"/>
  <c r="K137" i="4"/>
  <c r="K136" i="4" s="1"/>
  <c r="K149" i="4" s="1"/>
  <c r="L137" i="4"/>
  <c r="L136" i="4" s="1"/>
  <c r="L149" i="4" s="1"/>
  <c r="N137" i="4"/>
  <c r="N136" i="4" s="1"/>
  <c r="N149" i="4" s="1"/>
  <c r="I136" i="4"/>
  <c r="J136" i="4" s="1"/>
  <c r="H149" i="4"/>
  <c r="I149" i="4" s="1"/>
  <c r="J149" i="4" s="1"/>
  <c r="K124" i="4"/>
  <c r="K123" i="4" s="1"/>
  <c r="L124" i="4"/>
  <c r="L123" i="4" s="1"/>
  <c r="M124" i="4"/>
  <c r="M123" i="4" s="1"/>
  <c r="N124" i="4"/>
  <c r="N123" i="4" s="1"/>
  <c r="M112" i="4"/>
  <c r="M111" i="4" s="1"/>
  <c r="K112" i="4"/>
  <c r="K111" i="4" s="1"/>
  <c r="L112" i="4"/>
  <c r="L111" i="4" s="1"/>
  <c r="N112" i="4"/>
  <c r="N111" i="4" s="1"/>
  <c r="M110" i="4"/>
  <c r="M109" i="4" s="1"/>
  <c r="M134" i="4" s="1"/>
  <c r="K110" i="4"/>
  <c r="K109" i="4" s="1"/>
  <c r="L110" i="4"/>
  <c r="L109" i="4" s="1"/>
  <c r="L134" i="4" s="1"/>
  <c r="N110" i="4"/>
  <c r="N109" i="4" s="1"/>
  <c r="N134" i="4" s="1"/>
  <c r="I109" i="4"/>
  <c r="J109" i="4" s="1"/>
  <c r="H134" i="4"/>
  <c r="I134" i="4" s="1"/>
  <c r="J134" i="4" s="1"/>
  <c r="M106" i="4"/>
  <c r="K106" i="4"/>
  <c r="L106" i="4"/>
  <c r="N106" i="4"/>
  <c r="L101" i="4"/>
  <c r="L100" i="4" s="1"/>
  <c r="K101" i="4"/>
  <c r="K100" i="4" s="1"/>
  <c r="M101" i="4"/>
  <c r="M100" i="4" s="1"/>
  <c r="N101" i="4"/>
  <c r="N100" i="4" s="1"/>
  <c r="L94" i="4"/>
  <c r="L93" i="4" s="1"/>
  <c r="M94" i="4"/>
  <c r="M93" i="4" s="1"/>
  <c r="N94" i="4"/>
  <c r="N93" i="4" s="1"/>
  <c r="K94" i="4"/>
  <c r="K93" i="4" s="1"/>
  <c r="K91" i="4"/>
  <c r="K90" i="4" s="1"/>
  <c r="K107" i="4" s="1"/>
  <c r="L91" i="4"/>
  <c r="L90" i="4" s="1"/>
  <c r="L107" i="4" s="1"/>
  <c r="M91" i="4"/>
  <c r="M90" i="4" s="1"/>
  <c r="M107" i="4" s="1"/>
  <c r="N91" i="4"/>
  <c r="N90" i="4" s="1"/>
  <c r="N107" i="4" s="1"/>
  <c r="L88" i="4"/>
  <c r="M88" i="4"/>
  <c r="N88" i="4"/>
  <c r="K88" i="4"/>
  <c r="I86" i="4"/>
  <c r="J86" i="4" s="1"/>
  <c r="H107" i="4"/>
  <c r="I107" i="4" s="1"/>
  <c r="J107" i="4" s="1"/>
  <c r="Q86" i="4"/>
  <c r="O107" i="4"/>
  <c r="Q107" i="4" s="1"/>
  <c r="K72" i="4"/>
  <c r="K71" i="4" s="1"/>
  <c r="L72" i="4"/>
  <c r="L71" i="4" s="1"/>
  <c r="M72" i="4"/>
  <c r="M71" i="4" s="1"/>
  <c r="N72" i="4"/>
  <c r="N71" i="4" s="1"/>
  <c r="K67" i="4"/>
  <c r="K66" i="4" s="1"/>
  <c r="L67" i="4"/>
  <c r="L66" i="4" s="1"/>
  <c r="M67" i="4"/>
  <c r="M66" i="4" s="1"/>
  <c r="N67" i="4"/>
  <c r="N66" i="4" s="1"/>
  <c r="K63" i="4"/>
  <c r="K62" i="4" s="1"/>
  <c r="L63" i="4"/>
  <c r="L62" i="4" s="1"/>
  <c r="M63" i="4"/>
  <c r="M62" i="4" s="1"/>
  <c r="N63" i="4"/>
  <c r="N62" i="4" s="1"/>
  <c r="K59" i="4"/>
  <c r="K58" i="4" s="1"/>
  <c r="L59" i="4"/>
  <c r="L58" i="4" s="1"/>
  <c r="M59" i="4"/>
  <c r="M58" i="4" s="1"/>
  <c r="N59" i="4"/>
  <c r="N58" i="4" s="1"/>
  <c r="K55" i="4"/>
  <c r="K54" i="4" s="1"/>
  <c r="L55" i="4"/>
  <c r="L54" i="4" s="1"/>
  <c r="M55" i="4"/>
  <c r="M54" i="4" s="1"/>
  <c r="N55" i="4"/>
  <c r="N54" i="4" s="1"/>
  <c r="K51" i="4"/>
  <c r="K50" i="4" s="1"/>
  <c r="L51" i="4"/>
  <c r="L50" i="4" s="1"/>
  <c r="M51" i="4"/>
  <c r="M50" i="4" s="1"/>
  <c r="N51" i="4"/>
  <c r="N50" i="4" s="1"/>
  <c r="K45" i="4"/>
  <c r="K44" i="4" s="1"/>
  <c r="L45" i="4"/>
  <c r="L44" i="4" s="1"/>
  <c r="M45" i="4"/>
  <c r="M44" i="4" s="1"/>
  <c r="N45" i="4"/>
  <c r="N44" i="4" s="1"/>
  <c r="K39" i="4"/>
  <c r="K38" i="4" s="1"/>
  <c r="K77" i="4" s="1"/>
  <c r="L39" i="4"/>
  <c r="L38" i="4" s="1"/>
  <c r="L77" i="4" s="1"/>
  <c r="M39" i="4"/>
  <c r="M38" i="4" s="1"/>
  <c r="M77" i="4" s="1"/>
  <c r="N39" i="4"/>
  <c r="N38" i="4" s="1"/>
  <c r="N77" i="4" s="1"/>
  <c r="I38" i="4"/>
  <c r="J38" i="4" s="1"/>
  <c r="H77" i="4"/>
  <c r="I77" i="4" s="1"/>
  <c r="J77" i="4" s="1"/>
  <c r="K21" i="4"/>
  <c r="L21" i="4"/>
  <c r="M21" i="4"/>
  <c r="N21" i="4"/>
  <c r="I15" i="4"/>
  <c r="J15" i="4" s="1"/>
  <c r="H36" i="4"/>
  <c r="Q15" i="4"/>
  <c r="O36" i="4"/>
  <c r="M13" i="14"/>
  <c r="D13" i="14"/>
  <c r="F13" i="14" s="1"/>
  <c r="M12" i="14"/>
  <c r="D12" i="14"/>
  <c r="F12" i="14" s="1"/>
  <c r="M11" i="14"/>
  <c r="D11" i="14"/>
  <c r="F11" i="14" s="1"/>
  <c r="M10" i="14"/>
  <c r="D10" i="14"/>
  <c r="F10" i="14" s="1"/>
  <c r="M9" i="14"/>
  <c r="D9" i="14"/>
  <c r="F9" i="14" s="1"/>
  <c r="M8" i="14"/>
  <c r="D8" i="14"/>
  <c r="F8" i="14" s="1"/>
  <c r="M7" i="14"/>
  <c r="D7" i="14"/>
  <c r="F7" i="14" s="1"/>
  <c r="M6" i="14"/>
  <c r="D6" i="14"/>
  <c r="F6" i="14" s="1"/>
  <c r="M5" i="14"/>
  <c r="D5" i="14"/>
  <c r="W8" i="11"/>
  <c r="W25" i="11" s="1"/>
  <c r="X8" i="11"/>
  <c r="X25" i="11" s="1"/>
  <c r="Y8" i="11"/>
  <c r="Y25" i="11" s="1"/>
  <c r="Z25" i="11"/>
  <c r="W36" i="7"/>
  <c r="X36" i="7"/>
  <c r="Y36" i="7"/>
  <c r="Z36" i="7"/>
  <c r="W29" i="5"/>
  <c r="W38" i="5" s="1"/>
  <c r="X29" i="5"/>
  <c r="X38" i="5" s="1"/>
  <c r="Y29" i="5"/>
  <c r="Y38" i="5" s="1"/>
  <c r="Z29" i="5"/>
  <c r="Z38" i="5" s="1"/>
  <c r="K36" i="4"/>
  <c r="L36" i="4"/>
  <c r="L240" i="4" s="1"/>
  <c r="M36" i="4"/>
  <c r="M240" i="4" s="1"/>
  <c r="N36" i="4"/>
  <c r="I36" i="4" l="1"/>
  <c r="J36" i="4" s="1"/>
  <c r="H240" i="4"/>
  <c r="I240" i="4"/>
  <c r="J240" i="4" s="1"/>
  <c r="Q36" i="4"/>
  <c r="O240" i="4"/>
  <c r="Q240" i="4" s="1"/>
  <c r="I13" i="14"/>
  <c r="J13" i="14"/>
  <c r="K13" i="14"/>
  <c r="L13" i="14"/>
  <c r="E13" i="14"/>
  <c r="G13" i="14" s="1"/>
  <c r="H13" i="14" s="1"/>
  <c r="E12" i="14"/>
  <c r="G12" i="14" s="1"/>
  <c r="H12" i="14" s="1"/>
  <c r="I12" i="14"/>
  <c r="J12" i="14"/>
  <c r="K12" i="14"/>
  <c r="L12" i="14"/>
  <c r="I11" i="14"/>
  <c r="J11" i="14"/>
  <c r="K11" i="14"/>
  <c r="L11" i="14"/>
  <c r="E11" i="14"/>
  <c r="G11" i="14" s="1"/>
  <c r="H11" i="14" s="1"/>
  <c r="E10" i="14"/>
  <c r="G10" i="14" s="1"/>
  <c r="H10" i="14" s="1"/>
  <c r="I10" i="14"/>
  <c r="J10" i="14"/>
  <c r="K10" i="14"/>
  <c r="L10" i="14"/>
  <c r="E9" i="14"/>
  <c r="G9" i="14" s="1"/>
  <c r="H9" i="14" s="1"/>
  <c r="I9" i="14"/>
  <c r="J9" i="14"/>
  <c r="K9" i="14"/>
  <c r="L9" i="14"/>
  <c r="E8" i="14"/>
  <c r="G8" i="14" s="1"/>
  <c r="H8" i="14" s="1"/>
  <c r="I8" i="14"/>
  <c r="J8" i="14"/>
  <c r="K8" i="14"/>
  <c r="L8" i="14"/>
  <c r="E7" i="14"/>
  <c r="G7" i="14" s="1"/>
  <c r="H7" i="14" s="1"/>
  <c r="I7" i="14"/>
  <c r="J7" i="14"/>
  <c r="K7" i="14"/>
  <c r="L7" i="14"/>
  <c r="E6" i="14"/>
  <c r="G6" i="14" s="1"/>
  <c r="H6" i="14" s="1"/>
  <c r="I6" i="14"/>
  <c r="J6" i="14"/>
  <c r="K6" i="14"/>
  <c r="L6" i="14"/>
  <c r="E5" i="14"/>
  <c r="I5" i="14"/>
  <c r="J5" i="14"/>
  <c r="K5" i="14"/>
  <c r="L5" i="14"/>
  <c r="F5" i="14"/>
  <c r="D14" i="14"/>
  <c r="F14" i="14" s="1"/>
  <c r="N187" i="4"/>
  <c r="N240" i="4" s="1"/>
  <c r="K187" i="4"/>
  <c r="K134" i="4"/>
  <c r="K240" i="4" s="1"/>
  <c r="M14" i="14"/>
  <c r="G5" i="14" l="1"/>
  <c r="H5" i="14" s="1"/>
  <c r="E14" i="14"/>
  <c r="G14" i="14" s="1"/>
  <c r="I14" i="14"/>
  <c r="J14" i="14"/>
  <c r="K14" i="14"/>
  <c r="L14" i="14"/>
  <c r="C20" i="14" l="1"/>
  <c r="C19" i="14"/>
  <c r="C18" i="14"/>
  <c r="C17" i="14"/>
  <c r="C22" i="14" s="1"/>
  <c r="C21" i="14"/>
  <c r="H14" i="14"/>
</calcChain>
</file>

<file path=xl/sharedStrings.xml><?xml version="1.0" encoding="utf-8"?>
<sst xmlns="http://schemas.openxmlformats.org/spreadsheetml/2006/main" count="4437" uniqueCount="1719">
  <si>
    <t>KRGI ACADEMIC AUDIT FRAMEWORK (NBA Tier-I aligned)</t>
  </si>
  <si>
    <t>Group: K. Ramakrishnan Group of Institutions - KRCT, KRCE, MKCE. Scope: every department of all three institutes.</t>
  </si>
  <si>
    <t>KRGI ACADEMIC AUDIT DASHBOARD - ALL DEPARTMENTS (KRCT + KRCE + MKCE)</t>
  </si>
  <si>
    <t>1. Audit cycles</t>
  </si>
  <si>
    <t>Mid-Semester audit: cross-department WITHIN the same institute (e.g., KRCT ECE auditors audit KRCT CSE). Scope = metrics marked 'Yes' in the Mid-Sem column (mainly Plan/Do/Check process metrics).</t>
  </si>
  <si>
    <t>End-Semester audit: CROSS-INSTITUTIONAL (auditors from KRCT/KRCE/MKCE audit a different institute). Scope = all metrics, C1 to C9.</t>
  </si>
  <si>
    <t>ALL CRITERIA C1-C9 - QUANTITATIVE METRICS (1000 marks)</t>
  </si>
  <si>
    <t>Enter validated % per criterion from each department's 'Criterion Summary' (column G), or link with IMPORTRANGE. Grades and counts are automatic.</t>
  </si>
  <si>
    <t>Auditors are drawn from the pooled list on 'Auditor Pool' (two per department: one senior + one with 3-5 years' experience, nominated by Head-IQAC). The deployment rule is checked automatically on 'Audit Allocation' and on each 'Dept Audit' sheet.</t>
  </si>
  <si>
    <t>2. Two-stage method</t>
  </si>
  <si>
    <t>Stage A - Digital audit: the department uploads proof for every metric to its Drive evidence folder and pastes the link in column P, fills the claimed value / self-score (column O) and evidence status (Q). Auditors do a desk review and enter the audited value / score (R).</t>
  </si>
  <si>
    <t>Combined view: values come automatically from the C1-C9 Validation Rubrics and Quantitative tabs. Enter Benchmark, Validated value, Items checked, Valid items and Auditor remarks in the Cn Validation Rubrics tabs.</t>
  </si>
  <si>
    <t>Stage B - Physical audit (one day): auditors visit the department to validate the claims. Column V flags 'Mandatory' checks (evidence not complete, or claim exceeds audited value by more than the tolerance in Settings). Other metrics are sampled. The validated value goes in X; the final score uses the physical result wherever it was Partially Verified / Not Verified.</t>
  </si>
  <si>
    <t>Institute</t>
  </si>
  <si>
    <t>3. Grading (thresholds editable on 'Settings')</t>
  </si>
  <si>
    <t>Y : more than 75%    |    C : 60% to 75%    |    W : 40% to below 60%    |    D : below 40%</t>
  </si>
  <si>
    <t>Grades are computed for every metric, sub-criterion, criterion and the overall department score.</t>
  </si>
  <si>
    <t>4. How each metric is scored</t>
  </si>
  <si>
    <t>Code</t>
  </si>
  <si>
    <t>Quantitative metrics: Score % = audited value / benchmark (capped at 100%). For 'Lower is better' metrics (SFR, FYSFR) Score % = benchmark / audited value. Benchmarks (column N) are set by IQAC for each cycle - the NBA sample worksheet values are NOT used as standards.</t>
  </si>
  <si>
    <t>Qualitative metrics: auditors score 0-10 against the rubric below; Score % = score / 10.</t>
  </si>
  <si>
    <t xml:space="preserve">   8-10  Exemplary (Y): process defined, documented, implemented, reviewed and improved (full PDCA); evidence complete.</t>
  </si>
  <si>
    <t>Cycle</t>
  </si>
  <si>
    <t>Metric</t>
  </si>
  <si>
    <t xml:space="preserve">   6-7   Established (C): process defined and implemented with documented evidence; review/closure partial.</t>
  </si>
  <si>
    <t>Departments audited</t>
  </si>
  <si>
    <t>How to measure</t>
  </si>
  <si>
    <t xml:space="preserve">   4-5   Developing (W): partially implemented; evidence incomplete or inconsistent.</t>
  </si>
  <si>
    <t>Average overall %</t>
  </si>
  <si>
    <t>Unit</t>
  </si>
  <si>
    <t>Grade</t>
  </si>
  <si>
    <t>Max marks</t>
  </si>
  <si>
    <t>Benchmark</t>
  </si>
  <si>
    <t>Validated value</t>
  </si>
  <si>
    <t>KRCT</t>
  </si>
  <si>
    <t>Marks obtained</t>
  </si>
  <si>
    <t>Percentage</t>
  </si>
  <si>
    <t>Mid-Semester</t>
  </si>
  <si>
    <t>Y</t>
  </si>
  <si>
    <t xml:space="preserve">   0-3   Initial / Absent (D): only planned, or no documented evidence.</t>
  </si>
  <si>
    <t>Max marks default to the NBA Tier-I weightage and can be changed in column J.</t>
  </si>
  <si>
    <t>C</t>
  </si>
  <si>
    <t>5. Workflow</t>
  </si>
  <si>
    <t>1) IQAC sets benchmarks, thresholds and allocation.  2) Make a copy of this file per department per cycle (name: INSTITUTE-DEPT-CYCLE-AY, e.g. KRCT-CSE-MID-2026-27-ODD).  3) Department fills yellow cells O, P, Q (claims + proof).  4) Auditors complete R (digital) then the one-day physical audit (W, X and the 'Physical Audit Day' tab).  5) Auditors record observations (AF); department records corrective action and ATR (AG-AI).  6) IQAC copies criterion % from 'Criterion Summary' into 'KRGI Dashboard' (or links with IMPORTRANGE).</t>
  </si>
  <si>
    <t>W</t>
  </si>
  <si>
    <t>6. Legend</t>
  </si>
  <si>
    <t>C1-C9 Quantitative tabs: every criterion broken into measurable indicators (1,000 marks in all) in a simple table: enter Benchmark and Validated value as plain numbers; Marks, Percentage, Grade and Y/C/W/D counts per sub-criterion are automatic. The 'All Criteria' tab combines all nine in one table; Criterion Summary (from row 32) gives the criterion-wise totals. 'C2 Validation Rubrics' gives the Y/C/W/D rubric and sample size for validating each Criterion 2 indicator.</t>
  </si>
  <si>
    <t>D</t>
  </si>
  <si>
    <t>Yellow cell with blue text = input. White/black = formula (do not overwrite). Shaded rows = criterion / sub-criterion roll-ups.</t>
  </si>
  <si>
    <t>Example (quantitative): 4.6 Placement, Benchmark 80, Claimed 72, Audited 68 -&gt; Digital 85% (Y); physical audit finds offer letters for 60 -&gt; Partially Verified, validated 60 -&gt; Final 75% (C).</t>
  </si>
  <si>
    <t>Items checked</t>
  </si>
  <si>
    <t>Valid items</t>
  </si>
  <si>
    <t>Sample validity %</t>
  </si>
  <si>
    <t>Auditor remarks</t>
  </si>
  <si>
    <t>C1</t>
  </si>
  <si>
    <t>CRITERION 1 - OUTCOME-BASED CURRICULUM</t>
  </si>
  <si>
    <t>1.1</t>
  </si>
  <si>
    <t>Vision, Mission and PEOs</t>
  </si>
  <si>
    <t>Department</t>
  </si>
  <si>
    <t>Semester</t>
  </si>
  <si>
    <t>Audit cycle</t>
  </si>
  <si>
    <t>End-Semester</t>
  </si>
  <si>
    <t>KRCE</t>
  </si>
  <si>
    <t>MKCE</t>
  </si>
  <si>
    <t>CRITERION 1 - OUTCOME-BASED CURRICULUM - VALIDATION RUBRICS AND SAMPLE SIZES (physical audit)</t>
  </si>
  <si>
    <t>C2</t>
  </si>
  <si>
    <t>C3</t>
  </si>
  <si>
    <t>C4</t>
  </si>
  <si>
    <t>C5</t>
  </si>
  <si>
    <t>C6</t>
  </si>
  <si>
    <t>C7</t>
  </si>
  <si>
    <t>C8</t>
  </si>
  <si>
    <t>C9</t>
  </si>
  <si>
    <t>Overall %</t>
  </si>
  <si>
    <t>Overall grade</t>
  </si>
  <si>
    <t>Sampling: check at least the Sample % of the population, but never fewer than the Minimum (check all items if the population is smaller). Sample % and Minimum are defaults - IQAC may change them.</t>
  </si>
  <si>
    <t>Criteria at Y</t>
  </si>
  <si>
    <t>Criteria at C</t>
  </si>
  <si>
    <t>Criteria at W</t>
  </si>
  <si>
    <t>Criteria at D</t>
  </si>
  <si>
    <t>Audit status</t>
  </si>
  <si>
    <t>Link to department audit file</t>
  </si>
  <si>
    <t>AI&amp;DS</t>
  </si>
  <si>
    <t>For % indicators: Validated value = Valid items / Items checked x 100. For count indicators: Validated value = number of claimed items found valid.</t>
  </si>
  <si>
    <t>Enter the Benchmark (col R) and Validated value (col S) here. Marks, Percentage and Grade (Y &gt; 75, C 60-75, W 40-60, D &lt; 40) are calculated automatically and flow to the C1 Quantitative and All Criteria tabs.</t>
  </si>
  <si>
    <t>Yellow/blue = input: Items checked, Valid items, Auditor remarks, Benchmark, Validated value (and Sample % / Minimum if IQAC changes them).</t>
  </si>
  <si>
    <t>Key aspect</t>
  </si>
  <si>
    <t>What the auditor verifies</t>
  </si>
  <si>
    <t>An item counts as valid only if</t>
  </si>
  <si>
    <t>Sampling unit</t>
  </si>
  <si>
    <t>Sample %</t>
  </si>
  <si>
    <t>Minimum sample</t>
  </si>
  <si>
    <t>How to sample</t>
  </si>
  <si>
    <t>Y (&gt; 75%)</t>
  </si>
  <si>
    <t>C (60-75%)</t>
  </si>
  <si>
    <t>W (40-60%)</t>
  </si>
  <si>
    <t>D (&lt; 40%)</t>
  </si>
  <si>
    <t>Criterion</t>
  </si>
  <si>
    <t>1.1.a</t>
  </si>
  <si>
    <t>Approval of Vision &amp; Mission (1.1.1)</t>
  </si>
  <si>
    <t>Approvals obtained (IQAC, DAB, GB) / Approvals required</t>
  </si>
  <si>
    <t>%</t>
  </si>
  <si>
    <t>Evidence status</t>
  </si>
  <si>
    <t>Self-claim %</t>
  </si>
  <si>
    <t>Physical status</t>
  </si>
  <si>
    <t>Self-claimed marks</t>
  </si>
  <si>
    <t>ATR status</t>
  </si>
  <si>
    <t>AI&amp;ML</t>
  </si>
  <si>
    <t>Outcome-Based Curriculum</t>
  </si>
  <si>
    <t>IT</t>
  </si>
  <si>
    <t>Approval of Vision &amp; Mission</t>
  </si>
  <si>
    <t>Signed minutes of IQAC, DAB and GB approving the current V&amp;M</t>
  </si>
  <si>
    <t>Approvals (count)</t>
  </si>
  <si>
    <t>Check every required approval (IQAC, DAB, GB)</t>
  </si>
  <si>
    <t>All approvals with signed, dated minutes</t>
  </si>
  <si>
    <t>One approval with minutes unsigned or undated</t>
  </si>
  <si>
    <t>One approval missing</t>
  </si>
  <si>
    <t>Approvals not obtained or minutes absent</t>
  </si>
  <si>
    <t>1.1.b</t>
  </si>
  <si>
    <t>CSE</t>
  </si>
  <si>
    <t>Quality of PEOs (1.1.2)</t>
  </si>
  <si>
    <t>PEOs meeting criteria (specific, measurable, 3-5 yrs after graduation) / PEOs defined</t>
  </si>
  <si>
    <t>ECE</t>
  </si>
  <si>
    <t>1.1.c</t>
  </si>
  <si>
    <t>Stakeholder categories consulted (1.1.3)</t>
  </si>
  <si>
    <t>Categories consulted (students, alumni, employers, parents, faculty, industry) / 6</t>
  </si>
  <si>
    <t>Quality of PEOs</t>
  </si>
  <si>
    <t>PEO is specific, measurable and describes graduates 3-5 years after graduation</t>
  </si>
  <si>
    <t>PEOs</t>
  </si>
  <si>
    <t>Check every PEO against the 3 criteria</t>
  </si>
  <si>
    <t>All PEOs meet all criteria</t>
  </si>
  <si>
    <t>Most PEOs meet criteria; wording minor gaps</t>
  </si>
  <si>
    <t>Several PEOs vague or not measurable</t>
  </si>
  <si>
    <t>PEOs not defined or copied from other programmes</t>
  </si>
  <si>
    <t>EEE</t>
  </si>
  <si>
    <t>Stakeholder categories consulted</t>
  </si>
  <si>
    <t>Dated consultation record (minutes/survey) for the category</t>
  </si>
  <si>
    <t>Stakeholder categories</t>
  </si>
  <si>
    <t>Check all 6 categories (students, alumni, employers, parents, faculty, industry)</t>
  </si>
  <si>
    <t>All categories consulted with records</t>
  </si>
  <si>
    <t>One category missing</t>
  </si>
  <si>
    <t>Two or three categories missing</t>
  </si>
  <si>
    <t>Little or no documented consultation</t>
  </si>
  <si>
    <t>MECH</t>
  </si>
  <si>
    <t>1.1.d</t>
  </si>
  <si>
    <t>Stakeholder survey responses (1.1.3)</t>
  </si>
  <si>
    <t>Survey responses received / Target responses</t>
  </si>
  <si>
    <t>Stakeholder survey responses</t>
  </si>
  <si>
    <t>Response traceable to a named respondent (form export with timestamp/email)</t>
  </si>
  <si>
    <t>Survey responses</t>
  </si>
  <si>
    <t>Random responses from raw survey export; call 2 respondents</t>
  </si>
  <si>
    <t>Responses meet target, all traceable</t>
  </si>
  <si>
    <t>Slightly below target; traceable</t>
  </si>
  <si>
    <t>Well below target or partly untraceable</t>
  </si>
  <si>
    <t>Responses not traceable or survey not done</t>
  </si>
  <si>
    <t>CIVIL</t>
  </si>
  <si>
    <t>1.1.e</t>
  </si>
  <si>
    <t>Dissemination points (1.1.4)</t>
  </si>
  <si>
    <t>Dissemination points</t>
  </si>
  <si>
    <t>V/M/PEOs physically displayed or published at the location</t>
  </si>
  <si>
    <t>Locations</t>
  </si>
  <si>
    <t>Walk-through of website, dept, labs, classrooms; open course files and handbook</t>
  </si>
  <si>
    <t>Displayed at all required points</t>
  </si>
  <si>
    <t>Missing at one point</t>
  </si>
  <si>
    <t>Missing at several points</t>
  </si>
  <si>
    <t>Not displayed</t>
  </si>
  <si>
    <t>Places displayed (website, dept, labs, classrooms, course files, handbook) / Required places</t>
  </si>
  <si>
    <t>S&amp;H</t>
  </si>
  <si>
    <t>1.1.f</t>
  </si>
  <si>
    <t>Stakeholder awareness (1.1.4)</t>
  </si>
  <si>
    <t>Stakeholder awareness</t>
  </si>
  <si>
    <t>Student correctly states the gist of Vision, Mission and at least one PEO</t>
  </si>
  <si>
    <t>Students</t>
  </si>
  <si>
    <t>Interview random students across years during physical audit</t>
  </si>
  <si>
    <t>Most students aware</t>
  </si>
  <si>
    <t>Majority aware</t>
  </si>
  <si>
    <t>About half aware</t>
  </si>
  <si>
    <t>Few aware</t>
  </si>
  <si>
    <t>1.1.g</t>
  </si>
  <si>
    <t>PEO-Mission mapping completeness (1.1.5)</t>
  </si>
  <si>
    <t>PEO-Mission mapping completeness</t>
  </si>
  <si>
    <t>Mapping cell filled with correlation level and written justification</t>
  </si>
  <si>
    <t>Mapping cells</t>
  </si>
  <si>
    <t>Random cells from PEO-Mission matrix</t>
  </si>
  <si>
    <t>All cells filled and justified</t>
  </si>
  <si>
    <t>Filled; justification thin in a few</t>
  </si>
  <si>
    <t>Several cells blank or unjustified</t>
  </si>
  <si>
    <t>Matrix absent</t>
  </si>
  <si>
    <t>Sampled students able to state V/M/PEOs / Students sampled</t>
  </si>
  <si>
    <t>1.1.h</t>
  </si>
  <si>
    <t>PEO-Mission correlation strength (1.1.5)</t>
  </si>
  <si>
    <t>PEO-Mission correlation strength</t>
  </si>
  <si>
    <t>PEO has a strong (3) correlation that the justification supports</t>
  </si>
  <si>
    <t>Check every PEO</t>
  </si>
  <si>
    <t>All PEOs strongly mapped with sound justification</t>
  </si>
  <si>
    <t>Most strongly mapped</t>
  </si>
  <si>
    <t>Mostly weak correlations</t>
  </si>
  <si>
    <t>No strong correlations or unjustified</t>
  </si>
  <si>
    <t>Curriculum structure and features</t>
  </si>
  <si>
    <t>Mapping cells filled with justification / Total mapping cells</t>
  </si>
  <si>
    <t>1.2.a</t>
  </si>
  <si>
    <t>Curriculum feedback collected and analysed (1.2.1)</t>
  </si>
  <si>
    <t>Curriculum feedback analysed</t>
  </si>
  <si>
    <t>Feedback raw data + analysis report + BoS discussion for the category</t>
  </si>
  <si>
    <t>Check all 4 categories (students, alumni, employers, faculty)</t>
  </si>
  <si>
    <t>All categories analysed and discussed at BoS</t>
  </si>
  <si>
    <t>Analysed; BoS discussion partial</t>
  </si>
  <si>
    <t>Collected but not analysed</t>
  </si>
  <si>
    <t>Not collected</t>
  </si>
  <si>
    <t>PEOs with strong (3) correlation to at least one mission element / PEOs defined</t>
  </si>
  <si>
    <t>CSBS</t>
  </si>
  <si>
    <t>1.2</t>
  </si>
  <si>
    <t>1.2.b</t>
  </si>
  <si>
    <t>Curriculum gaps addressed (1.2.1)</t>
  </si>
  <si>
    <t>Curriculum gaps addressed</t>
  </si>
  <si>
    <t>Gap has BoS revision or content-beyond-syllabus record with attendance</t>
  </si>
  <si>
    <t>Gaps</t>
  </si>
  <si>
    <t>Random gaps from the gap analysis register</t>
  </si>
  <si>
    <t>All sampled gaps closed with proof</t>
  </si>
  <si>
    <t>Most closed</t>
  </si>
  <si>
    <t>About half closed</t>
  </si>
  <si>
    <t>Few or none closed</t>
  </si>
  <si>
    <t>1.2.c</t>
  </si>
  <si>
    <t>Complete syllabi (1.2.2)</t>
  </si>
  <si>
    <t>Complete syllabi</t>
  </si>
  <si>
    <t>Syllabus has COs, unit content, hours, text and reference books</t>
  </si>
  <si>
    <t>Courses</t>
  </si>
  <si>
    <t>Random courses across semesters incl. electives and labs</t>
  </si>
  <si>
    <t>All complete</t>
  </si>
  <si>
    <t>Minor elements missing in a few</t>
  </si>
  <si>
    <t>Several incomplete</t>
  </si>
  <si>
    <t>Syllabi largely incomplete</t>
  </si>
  <si>
    <t>1.2.d</t>
  </si>
  <si>
    <t>Credit compliance (1.2.2)</t>
  </si>
  <si>
    <t>Stakeholder categories with feedback analysed / 4 (students, alumni, employers, faculty)</t>
  </si>
  <si>
    <t>Credit compliance</t>
  </si>
  <si>
    <t>Semester credits within university/AICTE norm as per approved scheme</t>
  </si>
  <si>
    <t>Semesters</t>
  </si>
  <si>
    <t>Check every semester in approved curriculum</t>
  </si>
  <si>
    <t>All semesters compliant</t>
  </si>
  <si>
    <t>One semester marginally off</t>
  </si>
  <si>
    <t>Several semesters off</t>
  </si>
  <si>
    <t>Scheme not compliant</t>
  </si>
  <si>
    <t>1.2.e</t>
  </si>
  <si>
    <t>Curriculum components within AICTE range (1.2.3)</t>
  </si>
  <si>
    <t>Curriculum components in AICTE range</t>
  </si>
  <si>
    <t>Category credits within AICTE range in approved scheme</t>
  </si>
  <si>
    <t>Categories</t>
  </si>
  <si>
    <t>Check all 7 categories (BS, ES, HSS, PC, PE, OE, Project)</t>
  </si>
  <si>
    <t>All 7 within range</t>
  </si>
  <si>
    <t>6 within range</t>
  </si>
  <si>
    <t>4-5 within range</t>
  </si>
  <si>
    <t>Fewer than 4 within range</t>
  </si>
  <si>
    <t>1.2.f</t>
  </si>
  <si>
    <t>Interdisciplinary / honours / minor options (1.2.4)</t>
  </si>
  <si>
    <t>Interdisciplinary / honours / minor options</t>
  </si>
  <si>
    <t>Option approved by BoS/AC with student enrolment record</t>
  </si>
  <si>
    <t>Options (count)</t>
  </si>
  <si>
    <t>Verify every claimed option</t>
  </si>
  <si>
    <t>Meets benchmark, enrolments verified</t>
  </si>
  <si>
    <t>Slightly below benchmark</t>
  </si>
  <si>
    <t>Well below benchmark</t>
  </si>
  <si>
    <t>None offered</t>
  </si>
  <si>
    <t>No.</t>
  </si>
  <si>
    <t>1.2.g</t>
  </si>
  <si>
    <t>Academic Bank of Credits registration (1.2.4)</t>
  </si>
  <si>
    <t>ABC registration</t>
  </si>
  <si>
    <t>ABC ID verifiable on the ABC/DigiLocker list for the student</t>
  </si>
  <si>
    <t>Random students from roll list; match with ABC portal export</t>
  </si>
  <si>
    <t>All sampled students registered</t>
  </si>
  <si>
    <t>Most registered</t>
  </si>
  <si>
    <t>About half registered</t>
  </si>
  <si>
    <t>Few registered</t>
  </si>
  <si>
    <t>Gaps closed through BoS revision or content beyond syllabus / Gaps identified</t>
  </si>
  <si>
    <t>Mapping of POs and PSOs</t>
  </si>
  <si>
    <t>1.3.a</t>
  </si>
  <si>
    <t>PSOs defined and approved (1.3.1)</t>
  </si>
  <si>
    <t>PSOs defined and approved</t>
  </si>
  <si>
    <t>PSO approved in signed BoS/DAB minutes</t>
  </si>
  <si>
    <t>PSOs</t>
  </si>
  <si>
    <t>Check every PSO</t>
  </si>
  <si>
    <t>All PSOs approved and programme-specific</t>
  </si>
  <si>
    <t>Approved; wording generic</t>
  </si>
  <si>
    <t>Partly approved</t>
  </si>
  <si>
    <t>Not approved</t>
  </si>
  <si>
    <t>Courses with complete syllabus (COs, content, hours, references) / Courses in curriculum</t>
  </si>
  <si>
    <t>1.3.b</t>
  </si>
  <si>
    <t>Courses mapped to POs/PSOs (1.3.2)</t>
  </si>
  <si>
    <t>Semesters with credits within university/AICTE norms / Total semesters</t>
  </si>
  <si>
    <t>Courses mapped to POs/PSOs</t>
  </si>
  <si>
    <t>Course has CO-PO/PSO mapping table in course file</t>
  </si>
  <si>
    <t>Random courses across all semesters</t>
  </si>
  <si>
    <t>All mapped</t>
  </si>
  <si>
    <t>Most mapped</t>
  </si>
  <si>
    <t>About half mapped</t>
  </si>
  <si>
    <t>Few or none</t>
  </si>
  <si>
    <t>1.3.c</t>
  </si>
  <si>
    <t>Justified mappings (1.3.2)</t>
  </si>
  <si>
    <t>Justified mappings</t>
  </si>
  <si>
    <t>Each correlation level in the mapping has written justification</t>
  </si>
  <si>
    <t>Mapped courses</t>
  </si>
  <si>
    <t>Same courses as 1.3.b</t>
  </si>
  <si>
    <t>All justified and consistent</t>
  </si>
  <si>
    <t>Most justified</t>
  </si>
  <si>
    <t>Justification weak or generic</t>
  </si>
  <si>
    <t>No justification</t>
  </si>
  <si>
    <t>Categories within range (BS, ES, HSS, PC, PE, OE, Project) / 7</t>
  </si>
  <si>
    <t>Course Outcomes and Course Articulation Matrix</t>
  </si>
  <si>
    <t>1.4.a</t>
  </si>
  <si>
    <t>Courses with COs defined (1.4.1)</t>
  </si>
  <si>
    <t>Courses with COs defined</t>
  </si>
  <si>
    <t>Course file lists 4-6 COs approved by course committee</t>
  </si>
  <si>
    <t>Random courses offered in the period</t>
  </si>
  <si>
    <t>All courses have COs</t>
  </si>
  <si>
    <t>Most have COs</t>
  </si>
  <si>
    <t>About half</t>
  </si>
  <si>
    <t>Number of options offered</t>
  </si>
  <si>
    <t>Students with ABC ID / Students on roll</t>
  </si>
  <si>
    <t>1.4.b</t>
  </si>
  <si>
    <t>Measurable COs (1.4.1)</t>
  </si>
  <si>
    <t>Measurable COs</t>
  </si>
  <si>
    <t>CO starts with action verb and states Bloom level</t>
  </si>
  <si>
    <t>COs</t>
  </si>
  <si>
    <t>Random COs from sampled courses</t>
  </si>
  <si>
    <t>All measurable</t>
  </si>
  <si>
    <t>Most measurable</t>
  </si>
  <si>
    <t>Mostly vague</t>
  </si>
  <si>
    <t>1.4.c</t>
  </si>
  <si>
    <t>Higher-order COs (1.4.1)</t>
  </si>
  <si>
    <t>Higher-order COs</t>
  </si>
  <si>
    <t>Course has at least one CO at Apply level or above, assessed in CA</t>
  </si>
  <si>
    <t>Same courses as 1.4.a</t>
  </si>
  <si>
    <t>All courses have higher-order COs</t>
  </si>
  <si>
    <t>Most</t>
  </si>
  <si>
    <t>1.3</t>
  </si>
  <si>
    <t>1.4.d</t>
  </si>
  <si>
    <t>Course Articulation Matrix prepared (1.4.2)</t>
  </si>
  <si>
    <t>Course Articulation Matrix prepared</t>
  </si>
  <si>
    <t>CAM present in course file and approved</t>
  </si>
  <si>
    <t>Random courses</t>
  </si>
  <si>
    <t>All have CAM</t>
  </si>
  <si>
    <t>Most have CAM</t>
  </si>
  <si>
    <t>1.4.e</t>
  </si>
  <si>
    <t>CAM correlations justified (1.4.2)</t>
  </si>
  <si>
    <t>CAM correlations justified</t>
  </si>
  <si>
    <t>Every correlation in the CAM has justification</t>
  </si>
  <si>
    <t>CAMs</t>
  </si>
  <si>
    <t>Random CAMs from 1.4.d sample</t>
  </si>
  <si>
    <t>All justified</t>
  </si>
  <si>
    <t>Partly justified</t>
  </si>
  <si>
    <t>Not justified</t>
  </si>
  <si>
    <t>PSOs approved by BoS/DAB / PSOs defined</t>
  </si>
  <si>
    <t>Programme Articulation Matrix</t>
  </si>
  <si>
    <t>ECE (VLSI)</t>
  </si>
  <si>
    <t>1.5.a</t>
  </si>
  <si>
    <t>PAM derived from CAMs</t>
  </si>
  <si>
    <t>PAM value recomputed by auditor matches the sheet (within 0.1)</t>
  </si>
  <si>
    <t>POs/PSOs</t>
  </si>
  <si>
    <t>Recompute PAM for random POs/PSOs from CAMs</t>
  </si>
  <si>
    <t>All recomputed values match</t>
  </si>
  <si>
    <t>Minor deviations</t>
  </si>
  <si>
    <t>Several mismatches</t>
  </si>
  <si>
    <t>PAM not derived from CAMs</t>
  </si>
  <si>
    <t>CSE (CS)</t>
  </si>
  <si>
    <t>Courses with PO/PSO mapping / Courses in curriculum</t>
  </si>
  <si>
    <t>1.5.b</t>
  </si>
  <si>
    <t>PO/PSO coverage</t>
  </si>
  <si>
    <t>PO/PSO addressed by at least N courses in PAM</t>
  </si>
  <si>
    <t>Check all POs and PSOs in PAM</t>
  </si>
  <si>
    <t>All POs/PSOs adequately covered</t>
  </si>
  <si>
    <t>One or two thinly covered</t>
  </si>
  <si>
    <t>Several thinly covered</t>
  </si>
  <si>
    <t>Many POs/PSOs uncovered</t>
  </si>
  <si>
    <t>Mapped courses with written justification / Mapped courses</t>
  </si>
  <si>
    <t>CRITERION 1 TOTAL</t>
  </si>
  <si>
    <t>1.4</t>
  </si>
  <si>
    <t>Courses with COs / Courses offered</t>
  </si>
  <si>
    <t>CRITERION 2 - VALIDATION RUBRICS AND SAMPLE SIZES (physical audit)</t>
  </si>
  <si>
    <t>Enter the Benchmark (col R) and Validated value (col S) here. Marks, Percentage and Grade (Y &gt; 75, C 60-75, W 40-60, D &lt; 40) are calculated automatically and flow to the C2 Quantitative and All Criteria tabs.</t>
  </si>
  <si>
    <t>COs with action verb and Bloom's level / Total COs</t>
  </si>
  <si>
    <t>2.1</t>
  </si>
  <si>
    <t>Quality of teaching-learning processes</t>
  </si>
  <si>
    <t>Courses with at least one CO at Apply level or above / Courses offered</t>
  </si>
  <si>
    <t>2.1.a</t>
  </si>
  <si>
    <t>Course files complete before semester start</t>
  </si>
  <si>
    <t>Completeness of course files before semester start</t>
  </si>
  <si>
    <t>File has lesson plan, COs, CAM, timetable and dated upload before semester start</t>
  </si>
  <si>
    <t>Courses with CAM / Courses offered</t>
  </si>
  <si>
    <t>Random draw across all years; include at least 1 lab course</t>
  </si>
  <si>
    <t>All components present, dated before start, signed by HoD</t>
  </si>
  <si>
    <t>Minor component missing in a few files (e.g. CAM unsigned)</t>
  </si>
  <si>
    <t>Several files missing CAM or lesson plan; late uploads</t>
  </si>
  <si>
    <t>Files absent or prepared after semester start</t>
  </si>
  <si>
    <t>CAMs with justification for each correlation / CAMs prepared</t>
  </si>
  <si>
    <t>1.5</t>
  </si>
  <si>
    <t>2.1.b</t>
  </si>
  <si>
    <t>Syllabus coverage as per lesson plan</t>
  </si>
  <si>
    <t>Syllabus coverage vs lesson plan</t>
  </si>
  <si>
    <t>Topics in log book match lesson plan to audit date (lag &lt;= 1 week)</t>
  </si>
  <si>
    <t>Same courses as 2.1.a; compare log book, attendance and lesson plan</t>
  </si>
  <si>
    <t>On schedule or ahead; log book tallies with attendance</t>
  </si>
  <si>
    <t>Lag 1-2 weeks with documented recovery plan</t>
  </si>
  <si>
    <t>Lag 2-3 weeks; no recovery plan</t>
  </si>
  <si>
    <t>Lag beyond 3 weeks or log book not maintained</t>
  </si>
  <si>
    <t>POs/PSOs with PAM value computed from CAMs / Total POs + PSOs</t>
  </si>
  <si>
    <t>2.1.c</t>
  </si>
  <si>
    <t>Classes conducted vs scheduled</t>
  </si>
  <si>
    <t>Classes conducted vs timetabled</t>
  </si>
  <si>
    <t>Hours in attendance register equal timetabled hours (missed hours compensated)</t>
  </si>
  <si>
    <t>Course-weeks</t>
  </si>
  <si>
    <t>Pick 1 random week for each sampled course</t>
  </si>
  <si>
    <t>All scheduled hours held or compensated</t>
  </si>
  <si>
    <t>Up to 10% hours missed, partly compensated</t>
  </si>
  <si>
    <t>10-25% hours missed</t>
  </si>
  <si>
    <t>Over 25% hours missed or registers incomplete</t>
  </si>
  <si>
    <t>2.1.d</t>
  </si>
  <si>
    <t>Courses using active learning / ICT</t>
  </si>
  <si>
    <t>Use of active learning / ICT</t>
  </si>
  <si>
    <t>Documented session (plan + photo/LMS link + student work) in the course</t>
  </si>
  <si>
    <t>Random courses; observe 1 live class during physical audit</t>
  </si>
  <si>
    <t>Regular, documented active learning in most units; observed in class</t>
  </si>
  <si>
    <t>POs/PSOs addressed by at least N courses / Total POs + PSOs</t>
  </si>
  <si>
    <t>Used in some units with evidence</t>
  </si>
  <si>
    <t>Occasional; evidence weak</t>
  </si>
  <si>
    <t>Not evident; chalk-and-talk only</t>
  </si>
  <si>
    <t>2.1.e</t>
  </si>
  <si>
    <t>Student feedback on teaching</t>
  </si>
  <si>
    <t>Feedback collected from &gt;= 60% of class and analysed course-wise</t>
  </si>
  <si>
    <t>Cross-check feedback report against raw responses for sampled courses</t>
  </si>
  <si>
    <t>High scores, analysis done, actions recorded</t>
  </si>
  <si>
    <t>Moderate scores, analysis done</t>
  </si>
  <si>
    <t>Low scores or analysis partial</t>
  </si>
  <si>
    <t>Feedback not collected or not analysed</t>
  </si>
  <si>
    <t>2.2</t>
  </si>
  <si>
    <t>Quality of capstone project</t>
  </si>
  <si>
    <t>CRITERION 2 - OUTCOME-BASED TEACHING LEARNING</t>
  </si>
  <si>
    <t>2.2.a</t>
  </si>
  <si>
    <t>Projects mapped to POs/PSOs</t>
  </si>
  <si>
    <t>Each project has PO/PSO mapping with justification in project file</t>
  </si>
  <si>
    <t>Projects</t>
  </si>
  <si>
    <t>Random projects across guides</t>
  </si>
  <si>
    <t>All sampled projects mapped and justified</t>
  </si>
  <si>
    <t>Mapped, justification thin</t>
  </si>
  <si>
    <t>Mapping partial</t>
  </si>
  <si>
    <t>No mapping</t>
  </si>
  <si>
    <t>Courses with lesson plan + COs + CAM uploaded / Courses offered</t>
  </si>
  <si>
    <t>2.2.b</t>
  </si>
  <si>
    <t>Industry / research-linked projects</t>
  </si>
  <si>
    <t>Industry / research linkage</t>
  </si>
  <si>
    <t>Signed letter from industry or linked to funded/lab research</t>
  </si>
  <si>
    <t>Prefer projects claimed as industry-linked</t>
  </si>
  <si>
    <t>Strong linkage with sponsor involvement</t>
  </si>
  <si>
    <t>Linkage documented, limited involvement</t>
  </si>
  <si>
    <t>Claimed linkage, weak proof</t>
  </si>
  <si>
    <t>No valid proof</t>
  </si>
  <si>
    <t>Outcome-Based Teaching Learning</t>
  </si>
  <si>
    <t>2.2.c</t>
  </si>
  <si>
    <t>Projects with tangible outcome</t>
  </si>
  <si>
    <t>Tangible outcomes</t>
  </si>
  <si>
    <t>Paper/patent/prototype/award with verifiable proof (DOI, filing no., demo)</t>
  </si>
  <si>
    <t>Sample from claimed outcome list; see 2 prototypes working</t>
  </si>
  <si>
    <t>Outcomes verified, prototypes working</t>
  </si>
  <si>
    <t>Most outcomes verified</t>
  </si>
  <si>
    <t>Few outcomes verifiable</t>
  </si>
  <si>
    <t>Outcomes not verifiable</t>
  </si>
  <si>
    <t>Topics covered / Topics planned to audit date</t>
  </si>
  <si>
    <t>2.2.d</t>
  </si>
  <si>
    <t>Rubric-based reviews on schedule</t>
  </si>
  <si>
    <t>Rubric-based reviews</t>
  </si>
  <si>
    <t>At least 3 dated reviews with rubric score sheets signed by panel</t>
  </si>
  <si>
    <t>Random projects; check review registers</t>
  </si>
  <si>
    <t>All reviews on schedule with rubrics</t>
  </si>
  <si>
    <t>One review late or rubric partly filled</t>
  </si>
  <si>
    <t>Fewer than 3 reviews</t>
  </si>
  <si>
    <t>No rubric-based reviews</t>
  </si>
  <si>
    <t>Hours conducted / Hours timetabled</t>
  </si>
  <si>
    <t>2.2.e</t>
  </si>
  <si>
    <t>Interdisciplinary / SDG-linked projects</t>
  </si>
  <si>
    <t>Interdisciplinary / SDG linkage</t>
  </si>
  <si>
    <t>Team or problem spans 2+ disciplines or mapped to a named SDG with rationale</t>
  </si>
  <si>
    <t>Random projects</t>
  </si>
  <si>
    <t>Clear interdisciplinary/SDG design</t>
  </si>
  <si>
    <t>Linkage present, rationale weak</t>
  </si>
  <si>
    <t>Token linkage</t>
  </si>
  <si>
    <t>None</t>
  </si>
  <si>
    <t>2.3</t>
  </si>
  <si>
    <t>Internship and industrial training</t>
  </si>
  <si>
    <t>Courses with documented active-learning or ICT sessions / Courses offered</t>
  </si>
  <si>
    <t>Dept average feedback score / Max of scale (e.g. 5)</t>
  </si>
  <si>
    <t>2.3.a</t>
  </si>
  <si>
    <t>Internship completion</t>
  </si>
  <si>
    <t>Completion certificate + report + attendance for required duration</t>
  </si>
  <si>
    <t>Random students from eligible list</t>
  </si>
  <si>
    <t>All sampled students completed with full proof</t>
  </si>
  <si>
    <t>Minor gaps (e.g. report missing)</t>
  </si>
  <si>
    <t>Several without certificate or short duration</t>
  </si>
  <si>
    <t>Most not completed</t>
  </si>
  <si>
    <t>2.3.b</t>
  </si>
  <si>
    <t>Quality of internship host</t>
  </si>
  <si>
    <t>Projects with PO/PSO mapping / Total projects</t>
  </si>
  <si>
    <t>Host is registered industry/R&amp;D organisation (verifiable GST/website/contact)</t>
  </si>
  <si>
    <t>Internships</t>
  </si>
  <si>
    <t>Random internships; call or email 2 hosts</t>
  </si>
  <si>
    <t>Reputed hosts, verified</t>
  </si>
  <si>
    <t>Mostly genuine hosts</t>
  </si>
  <si>
    <t>Many online / unverifiable hosts</t>
  </si>
  <si>
    <t>Hosts not verifiable</t>
  </si>
  <si>
    <t>2.3.c</t>
  </si>
  <si>
    <t>Internship to stipend / PPO</t>
  </si>
  <si>
    <t>Stipend / PPO</t>
  </si>
  <si>
    <t>Stipend proof (bank/offer letter) or PPO letter</t>
  </si>
  <si>
    <t>Sample from claimed stipend/PPO list</t>
  </si>
  <si>
    <t>All claims verified</t>
  </si>
  <si>
    <t>Most verified</t>
  </si>
  <si>
    <t>Few verified</t>
  </si>
  <si>
    <t>None verified</t>
  </si>
  <si>
    <t>Industry-sponsored or research-linked projects / Total projects</t>
  </si>
  <si>
    <t>2.4</t>
  </si>
  <si>
    <t>Seminar and mini/micro projects</t>
  </si>
  <si>
    <t>Projects with paper, patent, prototype or award / Total projects</t>
  </si>
  <si>
    <t>2.4.a</t>
  </si>
  <si>
    <t>Seminar participation</t>
  </si>
  <si>
    <t>Student presented with abstract, slides and rubric score</t>
  </si>
  <si>
    <t>Random students from roll list</t>
  </si>
  <si>
    <t>All sampled students presented and assessed</t>
  </si>
  <si>
    <t>Most presented</t>
  </si>
  <si>
    <t>About half presented</t>
  </si>
  <si>
    <t>2.5</t>
  </si>
  <si>
    <t>Case studies and real-life examples</t>
  </si>
  <si>
    <t>Projects with &gt;=3 rubric-scored reviews / Total projects</t>
  </si>
  <si>
    <t>Projects tagged interdisciplinary or to an SDG / Total projects</t>
  </si>
  <si>
    <t>2.4.b</t>
  </si>
  <si>
    <t>Mini/micro-project completion</t>
  </si>
  <si>
    <t>Report + demo/working model or code repository</t>
  </si>
  <si>
    <t>Random students; see 2 demos</t>
  </si>
  <si>
    <t>All completed with working output</t>
  </si>
  <si>
    <t>Most completed</t>
  </si>
  <si>
    <t>About half completed</t>
  </si>
  <si>
    <t>2.6</t>
  </si>
  <si>
    <t>2.4.c</t>
  </si>
  <si>
    <t>Rubric-evaluated mini-projects</t>
  </si>
  <si>
    <t>Rubric evaluation of mini-projects</t>
  </si>
  <si>
    <t>Rubric sheet with criteria and marks, signed by evaluator</t>
  </si>
  <si>
    <t>Mini-projects</t>
  </si>
  <si>
    <t>Random mini-projects</t>
  </si>
  <si>
    <t>Rubrics used consistently</t>
  </si>
  <si>
    <t>Rubrics used, some incomplete</t>
  </si>
  <si>
    <t>Rubrics occasional</t>
  </si>
  <si>
    <t>No rubrics</t>
  </si>
  <si>
    <t>Eligible students completing required internship / Eligible students</t>
  </si>
  <si>
    <t>2.7</t>
  </si>
  <si>
    <t>2.5.a</t>
  </si>
  <si>
    <t>Courses using case studies</t>
  </si>
  <si>
    <t>At least N case studies documented in course file with discussion record</t>
  </si>
  <si>
    <t>Theory courses</t>
  </si>
  <si>
    <t>Random theory courses</t>
  </si>
  <si>
    <t>Case studies embedded in most units</t>
  </si>
  <si>
    <t>N case studies met</t>
  </si>
  <si>
    <t>Fewer than N</t>
  </si>
  <si>
    <t>Internships at industry or R&amp;D organisations / Total internships</t>
  </si>
  <si>
    <t>CRITERION 3 - OUTCOME-BASED ASSESSMENT - VALIDATION RUBRICS AND SAMPLE SIZES (physical audit)</t>
  </si>
  <si>
    <t>2.8</t>
  </si>
  <si>
    <t>Enter the Benchmark (col R) and Validated value (col S) here. Marks, Percentage and Grade (Y &gt; 75, C 60-75, W 40-60, D &lt; 40) are calculated automatically and flow to the C3 Quantitative and All Criteria tabs.</t>
  </si>
  <si>
    <t>2.5.b</t>
  </si>
  <si>
    <t>Case-based assessment</t>
  </si>
  <si>
    <t>Case-based question present in internal assessment papers</t>
  </si>
  <si>
    <t>Check CA papers of sampled courses</t>
  </si>
  <si>
    <t>Case questions in every CA</t>
  </si>
  <si>
    <t>In most CAs</t>
  </si>
  <si>
    <t>In few CAs</t>
  </si>
  <si>
    <t>Evaluation of continuous assessment</t>
  </si>
  <si>
    <t>Internships with stipend or pre-placement offer / Total internships</t>
  </si>
  <si>
    <t>2.5.c</t>
  </si>
  <si>
    <t>Industry-led case sessions</t>
  </si>
  <si>
    <t>Session report with expert details, attendance, photos</t>
  </si>
  <si>
    <t>Sessions (count)</t>
  </si>
  <si>
    <t>Verify every claimed session (or at least 5)</t>
  </si>
  <si>
    <t>Claims fully verified, meets benchmark</t>
  </si>
  <si>
    <t>Verified, slightly below benchmark</t>
  </si>
  <si>
    <t>Little or no verified sessions</t>
  </si>
  <si>
    <t>MOOC / SWAYAM / NPTEL / self-learning</t>
  </si>
  <si>
    <t>Outcome-Based Assessment</t>
  </si>
  <si>
    <t>3.1.a</t>
  </si>
  <si>
    <t>CA papers mapped to CO and Bloom's level</t>
  </si>
  <si>
    <t>CA papers mapped to CO and Bloom level</t>
  </si>
  <si>
    <t>Each question in the paper tagged with CO and BL</t>
  </si>
  <si>
    <t>CA papers</t>
  </si>
  <si>
    <t>Random CA papers across courses and CA cycles</t>
  </si>
  <si>
    <t>All papers fully mapped</t>
  </si>
  <si>
    <t>Minor untagged questions</t>
  </si>
  <si>
    <t>Several papers partly mapped</t>
  </si>
  <si>
    <t>Not mapped</t>
  </si>
  <si>
    <t>2.6.a</t>
  </si>
  <si>
    <t>MOOC certification</t>
  </si>
  <si>
    <t>Certificate verifiable on NPTEL/SWAYAM/platform portal with roll no./name</t>
  </si>
  <si>
    <t>Random certified students; verify online</t>
  </si>
  <si>
    <t>All certificates verified</t>
  </si>
  <si>
    <t>Several unverifiable</t>
  </si>
  <si>
    <t>Mostly unverifiable</t>
  </si>
  <si>
    <t>Students who presented a seminar / Students on roll (relevant years)</t>
  </si>
  <si>
    <t>3.1</t>
  </si>
  <si>
    <t>3.1.b</t>
  </si>
  <si>
    <t>CA papers scrutinised before use</t>
  </si>
  <si>
    <t>Scrutiny form signed by scrutiniser dated before exam date</t>
  </si>
  <si>
    <t>Same papers as 3.1.a</t>
  </si>
  <si>
    <t>All scrutinised before use</t>
  </si>
  <si>
    <t>Scrutiny done, some undated</t>
  </si>
  <si>
    <t>Several not scrutinised</t>
  </si>
  <si>
    <t>No scrutiny</t>
  </si>
  <si>
    <t>2.6.b</t>
  </si>
  <si>
    <t>Credit transfer via MOOC</t>
  </si>
  <si>
    <t>Credit transfer approved by exam cell / university</t>
  </si>
  <si>
    <t>Sample from credit-transfer list</t>
  </si>
  <si>
    <t>All transfers approved</t>
  </si>
  <si>
    <t>Most approved</t>
  </si>
  <si>
    <t>Few approved</t>
  </si>
  <si>
    <t>3.1.c</t>
  </si>
  <si>
    <t>CA results published on time</t>
  </si>
  <si>
    <t>Result upload/notice date within institute timeline</t>
  </si>
  <si>
    <t>Assessments</t>
  </si>
  <si>
    <t>Random assessments; check ERP/notice timestamps</t>
  </si>
  <si>
    <t>All on time</t>
  </si>
  <si>
    <t>Few slightly late</t>
  </si>
  <si>
    <t>Many late</t>
  </si>
  <si>
    <t>Results not published / no record</t>
  </si>
  <si>
    <t>2.6.c</t>
  </si>
  <si>
    <t>High-performance MOOC certificates</t>
  </si>
  <si>
    <t>High-performance certificates</t>
  </si>
  <si>
    <t>Elite/Silver/Gold/Topper shown on verified certificate</t>
  </si>
  <si>
    <t>Certificates</t>
  </si>
  <si>
    <t>Sample from claimed list; verify online</t>
  </si>
  <si>
    <t>All verified</t>
  </si>
  <si>
    <t>Evaluation of SEE question papers</t>
  </si>
  <si>
    <t>Students completing a mini-project / Students on roll</t>
  </si>
  <si>
    <t>Complex engineering problems with SDGs</t>
  </si>
  <si>
    <t>3.2.a</t>
  </si>
  <si>
    <t>SEE papers analysed for CO/BL coverage</t>
  </si>
  <si>
    <t>Analysis sheet shows CO and BL marks distribution for the paper</t>
  </si>
  <si>
    <t>3.2</t>
  </si>
  <si>
    <t>SEE papers</t>
  </si>
  <si>
    <t>2.7.a</t>
  </si>
  <si>
    <t>Random SEE papers from last exam</t>
  </si>
  <si>
    <t>Courses with complex engineering problems</t>
  </si>
  <si>
    <t>All analysed</t>
  </si>
  <si>
    <t>Complex engineering problems in courses</t>
  </si>
  <si>
    <t>Most analysed</t>
  </si>
  <si>
    <t>Problem statement meets NBA complexity attributes (depth, conflicting requirements, no obvious solution)</t>
  </si>
  <si>
    <t>Not analysed</t>
  </si>
  <si>
    <t>Random core courses; auditor scores problem against attributes</t>
  </si>
  <si>
    <t>Genuine complex problems, attributes mapped</t>
  </si>
  <si>
    <t>Mini-projects evaluated by rubric / Total mini-projects</t>
  </si>
  <si>
    <t>Complex but attributes partly mapped</t>
  </si>
  <si>
    <t>Routine problems labelled complex</t>
  </si>
  <si>
    <t>3.2.b</t>
  </si>
  <si>
    <t>SEE papers with adequate higher-order questions</t>
  </si>
  <si>
    <t>SEE papers with higher-order questions</t>
  </si>
  <si>
    <t>Apply-and-above marks share meets required %</t>
  </si>
  <si>
    <t>Papers analysed</t>
  </si>
  <si>
    <t>Same papers as 3.2.a; auditor re-checks BL tags</t>
  </si>
  <si>
    <t>All meet required share</t>
  </si>
  <si>
    <t>Most meet</t>
  </si>
  <si>
    <t>2.7.b</t>
  </si>
  <si>
    <t>Student coverage</t>
  </si>
  <si>
    <t>Student submission exists for the complex-problem task</t>
  </si>
  <si>
    <t>Random students from sampled courses</t>
  </si>
  <si>
    <t>All sampled students submitted</t>
  </si>
  <si>
    <t>Most submitted</t>
  </si>
  <si>
    <t>3.3</t>
  </si>
  <si>
    <t>Evaluation of laboratory work</t>
  </si>
  <si>
    <t>2.7.c</t>
  </si>
  <si>
    <t>SDG linkage</t>
  </si>
  <si>
    <t>SDG linkage of complex problems</t>
  </si>
  <si>
    <t>Task explicitly mapped to an SDG target with rationale</t>
  </si>
  <si>
    <t>Tasks</t>
  </si>
  <si>
    <t>Same tasks as 2.7.a</t>
  </si>
  <si>
    <t>Clear SDG target linkage</t>
  </si>
  <si>
    <t>SDG named, rationale weak</t>
  </si>
  <si>
    <t>Theory courses with &gt;= N documented case studies / Theory courses</t>
  </si>
  <si>
    <t>2.7.d</t>
  </si>
  <si>
    <t>Solution quality</t>
  </si>
  <si>
    <t>Quality of solutions</t>
  </si>
  <si>
    <t>Auditor re-scores solution with the same rubric; within 10% of faculty score</t>
  </si>
  <si>
    <t>Solutions</t>
  </si>
  <si>
    <t>Random solutions from sampled courses</t>
  </si>
  <si>
    <t>High rubric scores, re-score agrees</t>
  </si>
  <si>
    <t>Moderate scores, re-score agrees</t>
  </si>
  <si>
    <t>Low scores or re-score differs &gt;10%</t>
  </si>
  <si>
    <t>Rubric not used</t>
  </si>
  <si>
    <t>3.3.a</t>
  </si>
  <si>
    <t>Rubric-based continuous lab evaluation</t>
  </si>
  <si>
    <t>Rubric sheet with criteria and marks per experiment</t>
  </si>
  <si>
    <t>Lab courses</t>
  </si>
  <si>
    <t>Random lab courses; observe 1 lab session</t>
  </si>
  <si>
    <t>Occasional use</t>
  </si>
  <si>
    <t>Industry-institute interaction</t>
  </si>
  <si>
    <t>3.4</t>
  </si>
  <si>
    <t>Evaluation of industrial training / internship</t>
  </si>
  <si>
    <t>2.8.a</t>
  </si>
  <si>
    <t>Active MoUs</t>
  </si>
  <si>
    <t>MoU valid in period with at least 1 dated activity report</t>
  </si>
  <si>
    <t>MoUs (count)</t>
  </si>
  <si>
    <t>Verify every claimed MoU (or at least 5)</t>
  </si>
  <si>
    <t>All MoUs active, meets benchmark</t>
  </si>
  <si>
    <t>Active, slightly below benchmark</t>
  </si>
  <si>
    <t>Many MoUs dormant</t>
  </si>
  <si>
    <t>No active MoUs</t>
  </si>
  <si>
    <t>Courses with case-based questions in internal assessment / Theory courses</t>
  </si>
  <si>
    <t>3.3.b</t>
  </si>
  <si>
    <t>Experiments evaluated on schedule</t>
  </si>
  <si>
    <t>Evaluation dated within 1 week of experiment</t>
  </si>
  <si>
    <t>Experiments</t>
  </si>
  <si>
    <t>Random experiments from sampled lab courses</t>
  </si>
  <si>
    <t>All on schedule</t>
  </si>
  <si>
    <t>Minor delays</t>
  </si>
  <si>
    <t>Many delayed</t>
  </si>
  <si>
    <t>Not evaluated</t>
  </si>
  <si>
    <t>3.3.c</t>
  </si>
  <si>
    <t>Lab records assessed</t>
  </si>
  <si>
    <t>Record signed and marked for every completed experiment</t>
  </si>
  <si>
    <t>3.5</t>
  </si>
  <si>
    <t>Random student records from sampled labs</t>
  </si>
  <si>
    <t>All assessed</t>
  </si>
  <si>
    <t>Most assessed</t>
  </si>
  <si>
    <t>Evaluation of projects</t>
  </si>
  <si>
    <t>Number of industry-expert case sessions held</t>
  </si>
  <si>
    <t>2.8.b</t>
  </si>
  <si>
    <t>Industry expert lectures</t>
  </si>
  <si>
    <t>Report with expert name, organisation, date, attendance, photos</t>
  </si>
  <si>
    <t>Lectures (count)</t>
  </si>
  <si>
    <t>Verify every claimed lecture (or at least 5)</t>
  </si>
  <si>
    <t>Meets benchmark, all verified</t>
  </si>
  <si>
    <t>Little or none</t>
  </si>
  <si>
    <t>2.8.c</t>
  </si>
  <si>
    <t>Industrial visits</t>
  </si>
  <si>
    <t>Permission letter + visit report + student list</t>
  </si>
  <si>
    <t>Random students; check they appear in visit lists</t>
  </si>
  <si>
    <t>Most students covered, verified</t>
  </si>
  <si>
    <t>Majority covered</t>
  </si>
  <si>
    <t>About half covered</t>
  </si>
  <si>
    <t>Few covered</t>
  </si>
  <si>
    <t>2.8.d</t>
  </si>
  <si>
    <t>Industry co-delivered courses or labs</t>
  </si>
  <si>
    <t>Industry co-delivered courses / labs</t>
  </si>
  <si>
    <t>Agreement + schedule + attendance of co-delivered sessions</t>
  </si>
  <si>
    <t>Courses/labs (count)</t>
  </si>
  <si>
    <t>Verify all claimed; visit lab if any</t>
  </si>
  <si>
    <t>Meets benchmark, active</t>
  </si>
  <si>
    <t>3.4.a</t>
  </si>
  <si>
    <t>Internships evaluated with rubric</t>
  </si>
  <si>
    <t>Rubric score sheet signed by evaluator for the internship</t>
  </si>
  <si>
    <t>Random internships from completed list</t>
  </si>
  <si>
    <t>All evaluated with rubric</t>
  </si>
  <si>
    <t>No rubric evaluation</t>
  </si>
  <si>
    <t>2.8.e</t>
  </si>
  <si>
    <t>Industry-supported projects or internships</t>
  </si>
  <si>
    <t>Industry-supported projects / internships</t>
  </si>
  <si>
    <t>Support letter from industry naming students/project</t>
  </si>
  <si>
    <t>Items (count)</t>
  </si>
  <si>
    <t>Verify all claimed (or at least 5)</t>
  </si>
  <si>
    <t>Meets benchmark, verified</t>
  </si>
  <si>
    <t>Slightly below</t>
  </si>
  <si>
    <t>Well below</t>
  </si>
  <si>
    <t>3.6</t>
  </si>
  <si>
    <t>Students with &gt;=1 MOOC certificate in period / Students on roll</t>
  </si>
  <si>
    <t>3.4.b</t>
  </si>
  <si>
    <t>Internship presentation / viva held</t>
  </si>
  <si>
    <t>Internship presentation / viva</t>
  </si>
  <si>
    <t>Dated presentation/viva record with panel signatures</t>
  </si>
  <si>
    <t>Same internships as 3.4.a</t>
  </si>
  <si>
    <t>All presented with records</t>
  </si>
  <si>
    <t>3.7</t>
  </si>
  <si>
    <t>Attainment of Course Outcomes</t>
  </si>
  <si>
    <t>Credits earned via MOOC / Credits eligible for transfer</t>
  </si>
  <si>
    <t>3.5.a</t>
  </si>
  <si>
    <t>Projects with 3 or more rubric reviews</t>
  </si>
  <si>
    <t>Projects with 3+ rubric reviews</t>
  </si>
  <si>
    <t>At least 3 dated reviews with rubric sheets</t>
  </si>
  <si>
    <t>Random final-year projects across guides</t>
  </si>
  <si>
    <t>All sampled meet</t>
  </si>
  <si>
    <t>One review missing in a few</t>
  </si>
  <si>
    <t>Many fewer than 3</t>
  </si>
  <si>
    <t>No rubric reviews</t>
  </si>
  <si>
    <t>Elite / Silver / Gold or topper certificates / Total certificates</t>
  </si>
  <si>
    <t>3.5.b</t>
  </si>
  <si>
    <t>Projects evaluated by external examiner</t>
  </si>
  <si>
    <t>External examiner name, signature and marks recorded</t>
  </si>
  <si>
    <t>Random projects; check viva register</t>
  </si>
  <si>
    <t>All externally evaluated</t>
  </si>
  <si>
    <t>3.5.c</t>
  </si>
  <si>
    <t>PO attainment computed from projects</t>
  </si>
  <si>
    <t>PO attainment from projects</t>
  </si>
  <si>
    <t>Project rubric marks mapped to POs with attainment computed</t>
  </si>
  <si>
    <t>Random projects; auditor recomputes 1</t>
  </si>
  <si>
    <t>Computed for all, recompute matches</t>
  </si>
  <si>
    <t>Computed, minor errors</t>
  </si>
  <si>
    <t>Partly computed</t>
  </si>
  <si>
    <t>Not computed</t>
  </si>
  <si>
    <t>Evidence of addressing SDGs</t>
  </si>
  <si>
    <t>Courses with &gt;=1 complex-problem task meeting NBA complexity attributes / Core courses</t>
  </si>
  <si>
    <t>3.6.a</t>
  </si>
  <si>
    <t>Courses with SDG-mapped assessment</t>
  </si>
  <si>
    <t>Assessment item explicitly mapped to an SDG target</t>
  </si>
  <si>
    <t>Random courses; check CA papers/assignments</t>
  </si>
  <si>
    <t>All sampled courses</t>
  </si>
  <si>
    <t>Few</t>
  </si>
  <si>
    <t>3.6.b</t>
  </si>
  <si>
    <t>Projects / assignments addressing SDGs</t>
  </si>
  <si>
    <t>Problem statement addresses a named SDG with rationale</t>
  </si>
  <si>
    <t>Projects/assignments</t>
  </si>
  <si>
    <t>Random projects and assignments</t>
  </si>
  <si>
    <t>Clear SDG linkage in all</t>
  </si>
  <si>
    <t>Most linked</t>
  </si>
  <si>
    <t>Students who attempted complex-problem tasks / Students on roll</t>
  </si>
  <si>
    <t>3.8</t>
  </si>
  <si>
    <t>Attainment of POs and PSOs</t>
  </si>
  <si>
    <t>Complex-problem tasks mapped to SDGs / Total complex-problem tasks</t>
  </si>
  <si>
    <t>3.7.a</t>
  </si>
  <si>
    <t>Assessment tools defined (3.7.1)</t>
  </si>
  <si>
    <t>Assessment tools defined</t>
  </si>
  <si>
    <t>Direct and indirect tools with weightages documented in course file</t>
  </si>
  <si>
    <t>All defined</t>
  </si>
  <si>
    <t>Most defined</t>
  </si>
  <si>
    <t>Partly defined</t>
  </si>
  <si>
    <t>Not defined</t>
  </si>
  <si>
    <t>Average rubric score of solutions / Max rubric score</t>
  </si>
  <si>
    <t>3.7.b</t>
  </si>
  <si>
    <t>CO attainment computed (3.7.2)</t>
  </si>
  <si>
    <t>CO attainment computed</t>
  </si>
  <si>
    <t>Attainment sheet with computation from marks; auditor recompute matches</t>
  </si>
  <si>
    <t>Random courses; recompute 2 COs</t>
  </si>
  <si>
    <t>Computed for all; recompute matches</t>
  </si>
  <si>
    <t>Students' Performance</t>
  </si>
  <si>
    <t>3.7.c</t>
  </si>
  <si>
    <t>Courses attaining CO target (3.7.2)</t>
  </si>
  <si>
    <t>Courses attaining CO target</t>
  </si>
  <si>
    <t>Computed attainment level meets set target</t>
  </si>
  <si>
    <t>Courses with attainment</t>
  </si>
  <si>
    <t>Random courses from 3.7.b sample</t>
  </si>
  <si>
    <t>Most courses attain target</t>
  </si>
  <si>
    <t>Majority attain</t>
  </si>
  <si>
    <t>Few attain</t>
  </si>
  <si>
    <t>4.1</t>
  </si>
  <si>
    <t>Number of MoUs with &gt;=1 documented activity in the period</t>
  </si>
  <si>
    <t>3.8.a</t>
  </si>
  <si>
    <t>PO/PSO attainment computed</t>
  </si>
  <si>
    <t>Direct + indirect attainment computed per PO/PSO with sheet</t>
  </si>
  <si>
    <t>Random POs/PSOs; recompute 2</t>
  </si>
  <si>
    <t>Minor errors</t>
  </si>
  <si>
    <t>3.8.b</t>
  </si>
  <si>
    <t>POs/PSOs attaining target</t>
  </si>
  <si>
    <t>Computed attainment meets target level</t>
  </si>
  <si>
    <t>Check all POs/PSOs</t>
  </si>
  <si>
    <t>Most attain target</t>
  </si>
  <si>
    <t>Number of guest lectures by industry experts</t>
  </si>
  <si>
    <t>CRITERION 3 TOTAL</t>
  </si>
  <si>
    <t>4.2</t>
  </si>
  <si>
    <t>Students covered by industrial visits / Students on roll</t>
  </si>
  <si>
    <t>Number of co-delivered courses, labs or certifications</t>
  </si>
  <si>
    <t>4.3</t>
  </si>
  <si>
    <t>CRITERION 4 - STUDENTS' PERFORMANCE - VALIDATION RUBRICS AND SAMPLE SIZES (physical audit)</t>
  </si>
  <si>
    <t>Enter the Benchmark (col R) and Validated value (col S) here. Marks, Percentage and Grade (Y &gt; 75, C 60-75, W 40-60, D &lt; 40) are calculated automatically and flow to the C4 Quantitative and All Criteria tabs.</t>
  </si>
  <si>
    <t>Number of industry-supported projects or internships</t>
  </si>
  <si>
    <t>Enrolment ratio</t>
  </si>
  <si>
    <t>CRITERION 5 - FACULTY INFORMATION - VALIDATION RUBRICS AND SAMPLE SIZES (physical audit)</t>
  </si>
  <si>
    <t>Enter the Benchmark (col R) and Validated value (col S) here. Marks, Percentage and Grade (Y &gt; 75, C 60-75, W 40-60, D &lt; 40) are calculated automatically and flow to the C5 Quantitative and All Criteria tabs.</t>
  </si>
  <si>
    <t>4.4</t>
  </si>
  <si>
    <t>Student-faculty ratio</t>
  </si>
  <si>
    <t>CRITERION 2 TOTAL</t>
  </si>
  <si>
    <t>4.1.a</t>
  </si>
  <si>
    <t>Admission record (university approval list) matches the student</t>
  </si>
  <si>
    <t>Students admitted</t>
  </si>
  <si>
    <t>Random admitted students; match with approved admission list and sanctioned intake letter</t>
  </si>
  <si>
    <t>Intake filled, all verified</t>
  </si>
  <si>
    <t>Slight shortfall, verified</t>
  </si>
  <si>
    <t>Significant shortfall</t>
  </si>
  <si>
    <t>Large shortfall or unverifiable</t>
  </si>
  <si>
    <t>5.1.a</t>
  </si>
  <si>
    <t>Faculty adequacy for SFR norm</t>
  </si>
  <si>
    <t>Faculty adequacy for SFR</t>
  </si>
  <si>
    <t>Faculty on roll: appointment order + salary/attendance proof for the period</t>
  </si>
  <si>
    <t>Faculty</t>
  </si>
  <si>
    <t>Random faculty from the claimed list; check payroll and attendance</t>
  </si>
  <si>
    <t>Adequate, all verified</t>
  </si>
  <si>
    <t>Slight shortfall</t>
  </si>
  <si>
    <t>4.5</t>
  </si>
  <si>
    <t>CRITERION 3 - OUTCOME-BASED ASSESSMENT</t>
  </si>
  <si>
    <t>Success rate in stipulated period</t>
  </si>
  <si>
    <t>Faculty qualification</t>
  </si>
  <si>
    <t>4.6</t>
  </si>
  <si>
    <t>4.2.a</t>
  </si>
  <si>
    <t>Success without backlog</t>
  </si>
  <si>
    <t>Placement, higher studies and entrepreneurship</t>
  </si>
  <si>
    <t>Grade sheet shows no arrear within stipulated period</t>
  </si>
  <si>
    <t>Graduated students</t>
  </si>
  <si>
    <t>Random students from the claimed list; verify university grade sheets</t>
  </si>
  <si>
    <t>5.2.a</t>
  </si>
  <si>
    <t>Faculty with Ph.D.</t>
  </si>
  <si>
    <t>Ph.D. degree certificate / provisional verified</t>
  </si>
  <si>
    <t>Random Ph.D. holders from claimed list</t>
  </si>
  <si>
    <t>CA papers with CO/BL mapping / CA papers set</t>
  </si>
  <si>
    <t>4.2.b</t>
  </si>
  <si>
    <t>Success with backlog</t>
  </si>
  <si>
    <t>Graduated within stipulated period with arrears cleared</t>
  </si>
  <si>
    <t>Random students from claimed list</t>
  </si>
  <si>
    <t>4.7</t>
  </si>
  <si>
    <t>5.2.b</t>
  </si>
  <si>
    <t>Faculty pursuing Ph.D.</t>
  </si>
  <si>
    <t>Registration letter from university with current status</t>
  </si>
  <si>
    <t>Random faculty from claimed list</t>
  </si>
  <si>
    <t>All registered, progress current</t>
  </si>
  <si>
    <t>Registered; progress records partial</t>
  </si>
  <si>
    <t>Several registrations lapsed</t>
  </si>
  <si>
    <t>Unverifiable</t>
  </si>
  <si>
    <t>Academic performance - first year</t>
  </si>
  <si>
    <t>Faculty cadre proportion</t>
  </si>
  <si>
    <t>Papers scrutinised / CA papers set</t>
  </si>
  <si>
    <t>4.3.a</t>
  </si>
  <si>
    <t>First-year pass rate</t>
  </si>
  <si>
    <t>University result shows student passed all first-year courses</t>
  </si>
  <si>
    <t>Random students; check result sheet</t>
  </si>
  <si>
    <t>5.3.a</t>
  </si>
  <si>
    <t>Professors</t>
  </si>
  <si>
    <t>Appointment order and qualification meet AICTE cadre norms</t>
  </si>
  <si>
    <t>Verify every Professor claimed</t>
  </si>
  <si>
    <t>Cadre requirement met, all verified</t>
  </si>
  <si>
    <t>None qualified</t>
  </si>
  <si>
    <t>Assessments with results published within timeline / Assessments conducted</t>
  </si>
  <si>
    <t>4.3.b</t>
  </si>
  <si>
    <t>First-year mean CGPA</t>
  </si>
  <si>
    <t>CGPA in grade sheet matches department data</t>
  </si>
  <si>
    <t>5.3.b</t>
  </si>
  <si>
    <t>Associate Professors</t>
  </si>
  <si>
    <t>Random students; auditor recomputes mean from sample</t>
  </si>
  <si>
    <t>Data matches; CGPA high</t>
  </si>
  <si>
    <t>Matches; CGPA moderate</t>
  </si>
  <si>
    <t>Minor mismatches or low CGPA</t>
  </si>
  <si>
    <t>Random Associate Professors</t>
  </si>
  <si>
    <t>Data does not match</t>
  </si>
  <si>
    <t>Cadre requirement met</t>
  </si>
  <si>
    <t>Large shortfall</t>
  </si>
  <si>
    <t>5.3.c</t>
  </si>
  <si>
    <t>Assistant Professors</t>
  </si>
  <si>
    <t>Academic performance - second year</t>
  </si>
  <si>
    <t>Appointment order and qualification meet AICTE norms</t>
  </si>
  <si>
    <t>Random Assistant Professors</t>
  </si>
  <si>
    <t>Visiting / adjunct faculty / professor of practice</t>
  </si>
  <si>
    <t>SEE papers analysed / SEE papers</t>
  </si>
  <si>
    <t>4.4.a</t>
  </si>
  <si>
    <t>Second-year pass rate</t>
  </si>
  <si>
    <t>University result shows student passed all second-year courses</t>
  </si>
  <si>
    <t>5.4.a</t>
  </si>
  <si>
    <t>Visiting / adjunct contact hours</t>
  </si>
  <si>
    <t>Appointment letter + timetable + attendance for sessions handled</t>
  </si>
  <si>
    <t>Sessions</t>
  </si>
  <si>
    <t>Random sessions from claimed hours log</t>
  </si>
  <si>
    <t>Hours meet target, verified</t>
  </si>
  <si>
    <t>Slightly below target</t>
  </si>
  <si>
    <t>Well below target</t>
  </si>
  <si>
    <t>4.4.b</t>
  </si>
  <si>
    <t>Second-year mean CGPA</t>
  </si>
  <si>
    <t>Random students</t>
  </si>
  <si>
    <t>Papers with required share of Apply-and-above marks / Papers analysed</t>
  </si>
  <si>
    <t>Faculty retention</t>
  </si>
  <si>
    <t>Academic performance - third year</t>
  </si>
  <si>
    <t>5.5.a</t>
  </si>
  <si>
    <t>Faculty on roll at start and still on roll after 2 years (payroll)</t>
  </si>
  <si>
    <t>Random faculty from start-of-period list</t>
  </si>
  <si>
    <t>Retention high, verified</t>
  </si>
  <si>
    <t>Moderate retention</t>
  </si>
  <si>
    <t>Low retention</t>
  </si>
  <si>
    <t>Very low retention</t>
  </si>
  <si>
    <t>4.5.a</t>
  </si>
  <si>
    <t>Third-year pass rate</t>
  </si>
  <si>
    <t>University result shows student passed all third-year courses</t>
  </si>
  <si>
    <t>CRITERION 5 TOTAL</t>
  </si>
  <si>
    <t>Lab courses with rubric evaluation / Lab courses</t>
  </si>
  <si>
    <t>4.5.b</t>
  </si>
  <si>
    <t>Third-year mean CGPA</t>
  </si>
  <si>
    <t>Experiments evaluated on schedule / Experiments conducted</t>
  </si>
  <si>
    <t>Student publications</t>
  </si>
  <si>
    <t>4.6.a</t>
  </si>
  <si>
    <t>Placement</t>
  </si>
  <si>
    <t>Offer letter on company letterhead + joining/acceptance proof; company verifiable</t>
  </si>
  <si>
    <t>Placed students</t>
  </si>
  <si>
    <t>Random placed students; call or email 2 HR contacts</t>
  </si>
  <si>
    <t>All offers verified</t>
  </si>
  <si>
    <t>CRITERION 6 - FACULTY CONTRIBUTIONS - VALIDATION RUBRICS AND SAMPLE SIZES (physical audit)</t>
  </si>
  <si>
    <t>Students with records assessed / Students in lab courses</t>
  </si>
  <si>
    <t>Enter the Benchmark (col R) and Validated value (col S) here. Marks, Percentage and Grade (Y &gt; 75, C 60-75, W 40-60, D &lt; 40) are calculated automatically and flow to the C6 Quantitative and All Criteria tabs.</t>
  </si>
  <si>
    <t>Professional development activities</t>
  </si>
  <si>
    <t>4.6.b</t>
  </si>
  <si>
    <t>Higher studies</t>
  </si>
  <si>
    <t>Admission letter/ID card from the institution with programme name</t>
  </si>
  <si>
    <t>4.6.c</t>
  </si>
  <si>
    <t>Entrepreneurs</t>
  </si>
  <si>
    <t>Registration proof (MCA/Udyam/GST/DPIIT) naming the student as founder</t>
  </si>
  <si>
    <t>Startups (count)</t>
  </si>
  <si>
    <t>Verify every claimed entrepreneur</t>
  </si>
  <si>
    <t>6.1.a</t>
  </si>
  <si>
    <t>Faculty Information</t>
  </si>
  <si>
    <t>Professional society membership (6.1.1)</t>
  </si>
  <si>
    <t>Professional society membership</t>
  </si>
  <si>
    <t>Valid membership card/receipt for the period</t>
  </si>
  <si>
    <t>All memberships active</t>
  </si>
  <si>
    <t>Internships evaluated with rubric / Internships completed</t>
  </si>
  <si>
    <t>Most active</t>
  </si>
  <si>
    <t>4.6.d</t>
  </si>
  <si>
    <t>Several lapsed</t>
  </si>
  <si>
    <t>Median salary</t>
  </si>
  <si>
    <t>Mostly lapsed or none</t>
  </si>
  <si>
    <t>Offer letter shows CTC; auditor recomputes median from verified offers</t>
  </si>
  <si>
    <t>Offer letters</t>
  </si>
  <si>
    <t>Random offers across salary range; recompute median</t>
  </si>
  <si>
    <t>Recomputed median matches and meets benchmark</t>
  </si>
  <si>
    <t>Matches, slightly below</t>
  </si>
  <si>
    <t>Well below or mismatch</t>
  </si>
  <si>
    <t>Professional activities</t>
  </si>
  <si>
    <t>4.7.a</t>
  </si>
  <si>
    <t>Professional events organised (4.7.1)</t>
  </si>
  <si>
    <t>Professional events organised</t>
  </si>
  <si>
    <t>Event report with date, resource person, attendance and photos</t>
  </si>
  <si>
    <t>Events (count)</t>
  </si>
  <si>
    <t>Verify every claimed event (or at least 5)</t>
  </si>
  <si>
    <t>6.1.b</t>
  </si>
  <si>
    <t>5.1</t>
  </si>
  <si>
    <t>Faculty as resource persons (6.1.2.1)</t>
  </si>
  <si>
    <t>Faculty as resource persons</t>
  </si>
  <si>
    <t>Invitation letter + certificate/letter of thanks from host</t>
  </si>
  <si>
    <t>Engagements (count)</t>
  </si>
  <si>
    <t>Verify every claim (or at least 5)</t>
  </si>
  <si>
    <t>Internships with presentation or viva / Internships completed</t>
  </si>
  <si>
    <t>6.1.c</t>
  </si>
  <si>
    <t>Faculty attending FDP/STTP (6.1.2.2)</t>
  </si>
  <si>
    <t>Faculty attending FDP/STTP</t>
  </si>
  <si>
    <t>Certificate of completion for programme of required duration</t>
  </si>
  <si>
    <t>4.7.b</t>
  </si>
  <si>
    <t>Student participation in professional events (4.7.2)</t>
  </si>
  <si>
    <t>Student participation in professional events</t>
  </si>
  <si>
    <t>Student name in attendance/certificate list of the event</t>
  </si>
  <si>
    <t>Random students; match with event attendance lists</t>
  </si>
  <si>
    <t>Most students participated</t>
  </si>
  <si>
    <t>Majority</t>
  </si>
  <si>
    <t>6.1.d</t>
  </si>
  <si>
    <t>E-content / MOOCs developed (6.1.3)</t>
  </si>
  <si>
    <t>E-content / MOOCs developed</t>
  </si>
  <si>
    <t>Content accessible online (link/LMS) with faculty as author</t>
  </si>
  <si>
    <t>Modules (count)</t>
  </si>
  <si>
    <t>Verify every claim; open 2 modules</t>
  </si>
  <si>
    <t>Meets benchmark, content live</t>
  </si>
  <si>
    <t>4.7.c</t>
  </si>
  <si>
    <t>Prizes won in professional events (4.7.2)</t>
  </si>
  <si>
    <t>Prizes won</t>
  </si>
  <si>
    <t>Prize certificate or organiser letter naming the student</t>
  </si>
  <si>
    <t>Prizes (count)</t>
  </si>
  <si>
    <t>Verify every claimed prize (or at least 5)</t>
  </si>
  <si>
    <t>6.1.e</t>
  </si>
  <si>
    <t>Faculty MOOC certification (6.1.4)</t>
  </si>
  <si>
    <t>Faculty MOOC certification</t>
  </si>
  <si>
    <t>Certificate verifiable on NPTEL/SWAYAM/platform portal</t>
  </si>
  <si>
    <t>Random certified faculty; verify online</t>
  </si>
  <si>
    <t>Projects with &gt;=3 rubric reviews / Projects</t>
  </si>
  <si>
    <t>4.7.d</t>
  </si>
  <si>
    <t>Department publications (4.7.3)</t>
  </si>
  <si>
    <t>Department publications</t>
  </si>
  <si>
    <t>Published issue (print/PDF) with date and editorial board</t>
  </si>
  <si>
    <t>Issues (count)</t>
  </si>
  <si>
    <t>Verify every claimed issue</t>
  </si>
  <si>
    <t>Meets benchmark, regular issues</t>
  </si>
  <si>
    <t>Irregular</t>
  </si>
  <si>
    <t>5.2</t>
  </si>
  <si>
    <t>6.1.f</t>
  </si>
  <si>
    <t>FDP/STTP organised (6.1.5)</t>
  </si>
  <si>
    <t>FDP/STTP organised</t>
  </si>
  <si>
    <t>Approval, brochure, schedule, attendance, feedback and report</t>
  </si>
  <si>
    <t>Programmes (count)</t>
  </si>
  <si>
    <t>Verify every claimed programme</t>
  </si>
  <si>
    <t>Meets benchmark, full documentation</t>
  </si>
  <si>
    <t>4.7.e</t>
  </si>
  <si>
    <t>Student publications (4.7.4)</t>
  </si>
  <si>
    <t>Paper verifiable online (DOI/proceedings) with student as author</t>
  </si>
  <si>
    <t>Papers (count)</t>
  </si>
  <si>
    <t>Verify every claimed paper (or at least 5)</t>
  </si>
  <si>
    <t>6.1.g</t>
  </si>
  <si>
    <t>Student innovative projects supported (6.1.6)</t>
  </si>
  <si>
    <t>Student innovative projects supported</t>
  </si>
  <si>
    <t>Project record with guide name and outcome (prototype/award/paper)</t>
  </si>
  <si>
    <t>Projects (count)</t>
  </si>
  <si>
    <t>Verify every claim (or at least 5); see 2 prototypes</t>
  </si>
  <si>
    <t>CRITERION 4 TOTAL</t>
  </si>
  <si>
    <t>6.1.h</t>
  </si>
  <si>
    <t>Faculty industry internship / training (6.1.7)</t>
  </si>
  <si>
    <t>Faculty industry internship / training</t>
  </si>
  <si>
    <t>Industry letter/certificate with duration and work done</t>
  </si>
  <si>
    <t>Projects with external evaluation / Projects</t>
  </si>
  <si>
    <t>5.3</t>
  </si>
  <si>
    <t>Research and development activities</t>
  </si>
  <si>
    <t>Projects with PO attainment computed / Projects</t>
  </si>
  <si>
    <t>6.2.a</t>
  </si>
  <si>
    <t>Indexed publications (6.2.1)</t>
  </si>
  <si>
    <t>Indexed publications</t>
  </si>
  <si>
    <t>Paper listed in Scopus/WoS with faculty affiliation to institute</t>
  </si>
  <si>
    <t>Random papers; verify in Scopus/WoS</t>
  </si>
  <si>
    <t>Meets benchmark, all indexed</t>
  </si>
  <si>
    <t>Well below or many not indexed</t>
  </si>
  <si>
    <t>5.4</t>
  </si>
  <si>
    <t>CRITERION 7 - FACILITIES AND TECHNICAL SUPPORT - VALIDATION RUBRICS AND SAMPLE SIZES (physical audit)</t>
  </si>
  <si>
    <t>Enter the Benchmark (col R) and Validated value (col S) here. Marks, Percentage and Grade (Y &gt; 75, C 60-75, W 40-60, D &lt; 40) are calculated automatically and flow to the C7 Quantitative and All Criteria tabs.</t>
  </si>
  <si>
    <t>6.2.b</t>
  </si>
  <si>
    <t>Patents (6.2.1)</t>
  </si>
  <si>
    <t>Patents</t>
  </si>
  <si>
    <t>Filing/publication/grant number verifiable on IP India/other office</t>
  </si>
  <si>
    <t>Patents (count)</t>
  </si>
  <si>
    <t>Random patents; verify on IP portal</t>
  </si>
  <si>
    <t>Laboratories and technical manpower</t>
  </si>
  <si>
    <t>Courses with SDG-mapped assessment items / Courses offered</t>
  </si>
  <si>
    <t>6.2.c</t>
  </si>
  <si>
    <t>Ph.D. scholars (6.2.2)</t>
  </si>
  <si>
    <t>Ph.D. scholars</t>
  </si>
  <si>
    <t>University registration/award letter naming faculty as supervisor</t>
  </si>
  <si>
    <t>Scholars (count)</t>
  </si>
  <si>
    <t>Verify every claim</t>
  </si>
  <si>
    <t>5.5</t>
  </si>
  <si>
    <t>6.2.d</t>
  </si>
  <si>
    <t>Development activities (6.2.3)</t>
  </si>
  <si>
    <t>Development activities</t>
  </si>
  <si>
    <t>Product/lab set-up/material physically seen or accessible with record</t>
  </si>
  <si>
    <t>Verify every claim; inspect 2 items</t>
  </si>
  <si>
    <t>7.1.a</t>
  </si>
  <si>
    <t>Labs as per curriculum</t>
  </si>
  <si>
    <t>Lab exists with equipment to run all listed experiments</t>
  </si>
  <si>
    <t>Labs</t>
  </si>
  <si>
    <t>6.2.e</t>
  </si>
  <si>
    <t>Visit random labs; run 1 experiment list check per lab</t>
  </si>
  <si>
    <t>All required labs available</t>
  </si>
  <si>
    <t>Sponsored research (6.2.4)</t>
  </si>
  <si>
    <t>Sponsored research</t>
  </si>
  <si>
    <t>One lab partly equipped</t>
  </si>
  <si>
    <t>Sanction letter + fund receipt in institute account (Rs. lakhs)</t>
  </si>
  <si>
    <t>Several gaps</t>
  </si>
  <si>
    <t>Labs missing</t>
  </si>
  <si>
    <t>Verify every claimed grant; match with accounts</t>
  </si>
  <si>
    <t>Amount meets benchmark, all verified</t>
  </si>
  <si>
    <t>SDG-addressing projects and assignments / Total projects and assignments</t>
  </si>
  <si>
    <t>6.2.f</t>
  </si>
  <si>
    <t>Consultancy (6.2.5)</t>
  </si>
  <si>
    <t>Consultancy</t>
  </si>
  <si>
    <t>Work order + invoice + payment receipt in institute account (Rs. lakhs)</t>
  </si>
  <si>
    <t>Assignments</t>
  </si>
  <si>
    <t>Verify every claim; match with accounts</t>
  </si>
  <si>
    <t>6.2.g</t>
  </si>
  <si>
    <t>Seed money (6.2.6)</t>
  </si>
  <si>
    <t>Seed money</t>
  </si>
  <si>
    <t>Sanction order + utilisation certificate (Rs. lakhs)</t>
  </si>
  <si>
    <t>Grants</t>
  </si>
  <si>
    <t>Verify every grant</t>
  </si>
  <si>
    <t>Amount meets benchmark, utilised</t>
  </si>
  <si>
    <t>Faculty Contributions</t>
  </si>
  <si>
    <t>7.1.b</t>
  </si>
  <si>
    <t>Equipment in working condition</t>
  </si>
  <si>
    <t>Item in stock register found and working on demonstration</t>
  </si>
  <si>
    <t>Equipment items</t>
  </si>
  <si>
    <t>Random items from stock register across labs</t>
  </si>
  <si>
    <t>All sampled working</t>
  </si>
  <si>
    <t>Few not working, repair logged</t>
  </si>
  <si>
    <t>Many not working</t>
  </si>
  <si>
    <t>Mostly not working</t>
  </si>
  <si>
    <t>CRITERION 6 TOTAL</t>
  </si>
  <si>
    <t>7.1.c</t>
  </si>
  <si>
    <t>Lab batch size within norm</t>
  </si>
  <si>
    <t>Session attendance shows batch within norm</t>
  </si>
  <si>
    <t>Lab sessions</t>
  </si>
  <si>
    <t>Random lab sessions from timetable and attendance</t>
  </si>
  <si>
    <t>All within norm</t>
  </si>
  <si>
    <t>Few exceed</t>
  </si>
  <si>
    <t>Many exceed</t>
  </si>
  <si>
    <t>Mostly exceed</t>
  </si>
  <si>
    <t>Courses with direct + indirect tools and weightages defined / Courses offered</t>
  </si>
  <si>
    <t>6.1</t>
  </si>
  <si>
    <t>7.1.d</t>
  </si>
  <si>
    <t>Technical staff adequacy</t>
  </si>
  <si>
    <t>Appointment order + attendance + qualification for staff claimed</t>
  </si>
  <si>
    <t>Technical staff</t>
  </si>
  <si>
    <t>Verify random staff; meet them in labs</t>
  </si>
  <si>
    <t>Adequate and qualified</t>
  </si>
  <si>
    <t>Additional facilities in laboratories</t>
  </si>
  <si>
    <t>Courses with CO attainment computed / Courses offered</t>
  </si>
  <si>
    <t>7.2.a</t>
  </si>
  <si>
    <t>Additional facilities beyond curriculum</t>
  </si>
  <si>
    <t>Facility physically present with purchase record and usage log</t>
  </si>
  <si>
    <t>Facilities (count)</t>
  </si>
  <si>
    <t>CRITERION 8 - CONTINUOUS IMPROVEMENT - VALIDATION RUBRICS AND SAMPLE SIZES (physical audit)</t>
  </si>
  <si>
    <t>Verify every claimed facility</t>
  </si>
  <si>
    <t>Meets benchmark, in use</t>
  </si>
  <si>
    <t>Enter the Benchmark (col R) and Validated value (col S) here. Marks, Percentage and Grade (Y &gt; 75, C 60-75, W 40-60, D &lt; 40) are calculated automatically and flow to the C8 Quantitative and All Criteria tabs.</t>
  </si>
  <si>
    <t>Actions on CO, PO and PSO evaluation</t>
  </si>
  <si>
    <t>Courses attaining target CO level / Courses with attainment computed</t>
  </si>
  <si>
    <t>7.2.b</t>
  </si>
  <si>
    <t>Use of additional facilities</t>
  </si>
  <si>
    <t>Usage log entries with names, dates and purpose</t>
  </si>
  <si>
    <t>Log entries</t>
  </si>
  <si>
    <t>Random log entries; cross-check with student lists</t>
  </si>
  <si>
    <t>High, genuine use</t>
  </si>
  <si>
    <t>Moderate use</t>
  </si>
  <si>
    <t>Low use</t>
  </si>
  <si>
    <t>No usage log</t>
  </si>
  <si>
    <t>Laboratory maintenance and ambience</t>
  </si>
  <si>
    <t>8.1.a</t>
  </si>
  <si>
    <t>Action plans for CO gaps (8.1.1)</t>
  </si>
  <si>
    <t>Action plans for CO gaps</t>
  </si>
  <si>
    <t>Course below target has dated action plan approved by course committee</t>
  </si>
  <si>
    <t>Courses below target</t>
  </si>
  <si>
    <t>Random courses below CO target</t>
  </si>
  <si>
    <t>All have action plans</t>
  </si>
  <si>
    <t>Most have plans</t>
  </si>
  <si>
    <t>Few have plans</t>
  </si>
  <si>
    <t>7.3.a</t>
  </si>
  <si>
    <t>Maintenance and calibration up to date</t>
  </si>
  <si>
    <t>Maintenance and calibration</t>
  </si>
  <si>
    <t>Current maintenance/calibration record for the item</t>
  </si>
  <si>
    <t>Random items; check AMC/calibration certificates</t>
  </si>
  <si>
    <t>All current</t>
  </si>
  <si>
    <t>Few overdue</t>
  </si>
  <si>
    <t>Many overdue</t>
  </si>
  <si>
    <t>No records</t>
  </si>
  <si>
    <t>POs/PSOs with attainment computed (direct + indirect) / Total POs + PSOs</t>
  </si>
  <si>
    <t>8.1.b</t>
  </si>
  <si>
    <t>CO actions implemented (8.1.1)</t>
  </si>
  <si>
    <t>CO actions implemented</t>
  </si>
  <si>
    <t>Evidence of the action (session record, revised material, re-test)</t>
  </si>
  <si>
    <t>Actions</t>
  </si>
  <si>
    <t>Random actions from action plans</t>
  </si>
  <si>
    <t>All implemented with evidence</t>
  </si>
  <si>
    <t>Most implemented</t>
  </si>
  <si>
    <t>7.3.b</t>
  </si>
  <si>
    <t>Lab ambience</t>
  </si>
  <si>
    <t>Lab meets checklist (lighting, ventilation, seating, cleanliness, display)</t>
  </si>
  <si>
    <t>Walk-through of random labs with checklist</t>
  </si>
  <si>
    <t>All meet checklist</t>
  </si>
  <si>
    <t>Minor gaps</t>
  </si>
  <si>
    <t>Poor ambience</t>
  </si>
  <si>
    <t>8.1.c</t>
  </si>
  <si>
    <t>Action plans for PO/PSO gaps (8.1.2)</t>
  </si>
  <si>
    <t>Action plans for PO/PSO gaps</t>
  </si>
  <si>
    <t>PO/PSO below target has dated action plan approved by DAB</t>
  </si>
  <si>
    <t>POs/PSOs below target</t>
  </si>
  <si>
    <t>Check every PO/PSO below target</t>
  </si>
  <si>
    <t>Safety measures in laboratories</t>
  </si>
  <si>
    <t>POs/PSOs attaining target level / Total POs + PSOs</t>
  </si>
  <si>
    <t>8.1.d</t>
  </si>
  <si>
    <t>PO/PSO attainment improved (8.1.2)</t>
  </si>
  <si>
    <t>PO/PSO attainment improved</t>
  </si>
  <si>
    <t>Current attainment higher than previous year (sheets compared)</t>
  </si>
  <si>
    <t>Check every PO/PSO below target last year</t>
  </si>
  <si>
    <t>Most improved</t>
  </si>
  <si>
    <t>Majority improved</t>
  </si>
  <si>
    <t>Few or none improved</t>
  </si>
  <si>
    <t>Academic audit and actions taken</t>
  </si>
  <si>
    <t>7.4.a</t>
  </si>
  <si>
    <t>Lab safety compliance</t>
  </si>
  <si>
    <t>Extinguisher (valid refill), first-aid, signage, SOP and emergency contact present</t>
  </si>
  <si>
    <t>Walk-through of random labs with safety checklist</t>
  </si>
  <si>
    <t>All compliant</t>
  </si>
  <si>
    <t>Unsafe</t>
  </si>
  <si>
    <t>8.2.a</t>
  </si>
  <si>
    <t>Audit observations closed</t>
  </si>
  <si>
    <t>Observation has closure evidence accepted by IQAC (ATR)</t>
  </si>
  <si>
    <t>Observations</t>
  </si>
  <si>
    <t>Random observations from previous audit report</t>
  </si>
  <si>
    <t>All sampled closed with proof</t>
  </si>
  <si>
    <t>Project lab / research lab / Centre of Excellence</t>
  </si>
  <si>
    <t>8.2.b</t>
  </si>
  <si>
    <t>Audits conducted as scheduled</t>
  </si>
  <si>
    <t>Audit report dated within scheduled window</t>
  </si>
  <si>
    <t>Audits</t>
  </si>
  <si>
    <t>Check every scheduled audit in the period</t>
  </si>
  <si>
    <t>CRITERION 4 - STUDENTS' PERFORMANCE</t>
  </si>
  <si>
    <t>All conducted on time</t>
  </si>
  <si>
    <t>One delayed</t>
  </si>
  <si>
    <t>One missed</t>
  </si>
  <si>
    <t>Most missed</t>
  </si>
  <si>
    <t>7.5.a</t>
  </si>
  <si>
    <t>Project / research labs / CoE</t>
  </si>
  <si>
    <t>Lab/CoE physically present with MoU/approval and equipment list</t>
  </si>
  <si>
    <t>Labs (count)</t>
  </si>
  <si>
    <t>Improvement in faculty qualification / contribution</t>
  </si>
  <si>
    <t>Visit every claimed lab/CoE</t>
  </si>
  <si>
    <t>8.3.a</t>
  </si>
  <si>
    <t>Faculty qualification improvement</t>
  </si>
  <si>
    <t>Ph.D. certificates verified for faculty counted in current %</t>
  </si>
  <si>
    <t>Random faculty counted in current %; compare with target</t>
  </si>
  <si>
    <t>Target met, verified</t>
  </si>
  <si>
    <t>No improvement</t>
  </si>
  <si>
    <t>Students admitted / Sanctioned intake (average of 3 years)</t>
  </si>
  <si>
    <t>7.5.b</t>
  </si>
  <si>
    <t>CoE utilisation</t>
  </si>
  <si>
    <t>Random log entries; cross-check with users</t>
  </si>
  <si>
    <t>7.5.c</t>
  </si>
  <si>
    <t>8.3.b</t>
  </si>
  <si>
    <t>Faculty contribution</t>
  </si>
  <si>
    <t>Faculty contribution improvement</t>
  </si>
  <si>
    <t>Publications and FDPs verified for current count</t>
  </si>
  <si>
    <t>CoE outputs</t>
  </si>
  <si>
    <t>Items</t>
  </si>
  <si>
    <t>Output (project/paper/certification) traceable to the CoE</t>
  </si>
  <si>
    <t>Outputs (count)</t>
  </si>
  <si>
    <t>Random items from current count</t>
  </si>
  <si>
    <t>Improvement in academic performance</t>
  </si>
  <si>
    <t>CRITERION 7 TOTAL</t>
  </si>
  <si>
    <t>8.4.a</t>
  </si>
  <si>
    <t>Pass percentage</t>
  </si>
  <si>
    <t>Pass percentage improvement</t>
  </si>
  <si>
    <t>University results confirm current pass %</t>
  </si>
  <si>
    <t>Random students; check results; compare with target</t>
  </si>
  <si>
    <t>Students graduating without backlog in stipulated period / Students admitted</t>
  </si>
  <si>
    <t>8.4.b</t>
  </si>
  <si>
    <t>Average CGPA</t>
  </si>
  <si>
    <t>Average CGPA improvement</t>
  </si>
  <si>
    <t>Grade sheets confirm current average CGPA</t>
  </si>
  <si>
    <t>Random students; recompute mean from sample</t>
  </si>
  <si>
    <t>CRITERION 8 TOTAL</t>
  </si>
  <si>
    <t>Students graduating with backlog in stipulated period / Students admitted</t>
  </si>
  <si>
    <t>CRITERION 9 - STUDENT SUPPORT AND GOVERNANCE - VALIDATION RUBRICS AND SAMPLE SIZES (physical audit)</t>
  </si>
  <si>
    <t>Enter the Benchmark (col R) and Validated value (col S) here. Marks, Percentage and Grade (Y &gt; 75, C 60-75, W 40-60, D &lt; 40) are calculated automatically and flow to the C9 Quantitative and All Criteria tabs.</t>
  </si>
  <si>
    <t>First-year student-faculty ratio</t>
  </si>
  <si>
    <t>First-year students passing all courses / Students appeared</t>
  </si>
  <si>
    <t>CRITERION-WISE SUMMARY</t>
  </si>
  <si>
    <t>9.1.a</t>
  </si>
  <si>
    <t>First-year faculty adequacy</t>
  </si>
  <si>
    <t>First-year faculty appointment + timetable + attendance</t>
  </si>
  <si>
    <t>Random first-year faculty from claimed list</t>
  </si>
  <si>
    <t>Adequate, verified</t>
  </si>
  <si>
    <t>Mean CGPA of first-year students / 10</t>
  </si>
  <si>
    <t>Title</t>
  </si>
  <si>
    <t>Max marks (in scope)</t>
  </si>
  <si>
    <t>Validated marks</t>
  </si>
  <si>
    <t>Validated %</t>
  </si>
  <si>
    <t>Metrics at Y</t>
  </si>
  <si>
    <t>Metrics at C</t>
  </si>
  <si>
    <t>Metrics at W</t>
  </si>
  <si>
    <t>Metrics at D</t>
  </si>
  <si>
    <t>Metrics not yet scored</t>
  </si>
  <si>
    <t>6.2</t>
  </si>
  <si>
    <t>Mentoring system</t>
  </si>
  <si>
    <t>Second-year students passing all courses / Students appeared</t>
  </si>
  <si>
    <t>9.2.a</t>
  </si>
  <si>
    <t>Students with mentor</t>
  </si>
  <si>
    <t>Student in mentor allocation list and mentor record book</t>
  </si>
  <si>
    <t>Random students; ask them to name their mentor</t>
  </si>
  <si>
    <t>All have mentors and know them</t>
  </si>
  <si>
    <t>Mean CGPA of second-year students / 10</t>
  </si>
  <si>
    <t>9.2.b</t>
  </si>
  <si>
    <t>Mentoring meetings held</t>
  </si>
  <si>
    <t>Dated meeting record with student signature and issues/actions</t>
  </si>
  <si>
    <t>Meetings</t>
  </si>
  <si>
    <t>Random meetings from schedule</t>
  </si>
  <si>
    <t>All held with records</t>
  </si>
  <si>
    <t>Most held</t>
  </si>
  <si>
    <t>Third-year students passing all courses / Students appeared</t>
  </si>
  <si>
    <t>Feedback analysis</t>
  </si>
  <si>
    <t>Mean CGPA of third-year students / 10</t>
  </si>
  <si>
    <t>Sponsored research funding received (Rs. lakhs)</t>
  </si>
  <si>
    <t>9.3.a</t>
  </si>
  <si>
    <t>Teaching feedback analysed (9.3.1)</t>
  </si>
  <si>
    <t>Teaching feedback analysed</t>
  </si>
  <si>
    <t>Feedback raw data + course-wise analysis report</t>
  </si>
  <si>
    <t>Students placed / Final-year students</t>
  </si>
  <si>
    <t>Consultancy revenue (Rs. lakhs)</t>
  </si>
  <si>
    <t>9.3.b</t>
  </si>
  <si>
    <t>Corrective actions on teaching feedback (9.3.1)</t>
  </si>
  <si>
    <t>Corrective actions on feedback</t>
  </si>
  <si>
    <t>Action recorded and communicated for the issue</t>
  </si>
  <si>
    <t>Issues</t>
  </si>
  <si>
    <t>Random issues from feedback analysis</t>
  </si>
  <si>
    <t>All acted upon</t>
  </si>
  <si>
    <t>Students admitted to higher studies / Final-year students</t>
  </si>
  <si>
    <t>9.3.c</t>
  </si>
  <si>
    <t>Facility feedback issues resolved (9.3.2)</t>
  </si>
  <si>
    <t>Facility feedback issues resolved</t>
  </si>
  <si>
    <t>Issue closed with resolution proof (work order, photo)</t>
  </si>
  <si>
    <t>Random issues from facility feedback</t>
  </si>
  <si>
    <t>All resolved</t>
  </si>
  <si>
    <t>Most resolved</t>
  </si>
  <si>
    <t>Training and placement support</t>
  </si>
  <si>
    <t>Number of student entrepreneurs / startups</t>
  </si>
  <si>
    <t>Facilities and Technical Support</t>
  </si>
  <si>
    <t>Median salary of placed students (Rs. lakhs per annum)</t>
  </si>
  <si>
    <t>9.4.a</t>
  </si>
  <si>
    <t>Placement training coverage</t>
  </si>
  <si>
    <t>Student in training attendance list for required hours</t>
  </si>
  <si>
    <t>Random eligible students</t>
  </si>
  <si>
    <t>All trained</t>
  </si>
  <si>
    <t>Most trained</t>
  </si>
  <si>
    <t>7.1</t>
  </si>
  <si>
    <t>Continuous Improvement</t>
  </si>
  <si>
    <t>Number of events by professional societies, chapters, clubs</t>
  </si>
  <si>
    <t>9.4.b</t>
  </si>
  <si>
    <t>Companies visited</t>
  </si>
  <si>
    <t>Drive notice/email + list of attendees + result for the company</t>
  </si>
  <si>
    <t>Companies (count)</t>
  </si>
  <si>
    <t>Random companies from claimed list</t>
  </si>
  <si>
    <t>Startup and entrepreneurship</t>
  </si>
  <si>
    <t>Student Support and Governance</t>
  </si>
  <si>
    <t>7.2</t>
  </si>
  <si>
    <t>Students participating / Students on roll</t>
  </si>
  <si>
    <t>9.5.a</t>
  </si>
  <si>
    <t>Entrepreneurship activities / startups</t>
  </si>
  <si>
    <t>Event report or startup registration proof</t>
  </si>
  <si>
    <t>Number of prizes won</t>
  </si>
  <si>
    <t>TOTAL</t>
  </si>
  <si>
    <t>7.3</t>
  </si>
  <si>
    <t>Number of journal / magazine / newsletter issues published</t>
  </si>
  <si>
    <t>Governance and transparency</t>
  </si>
  <si>
    <t>Overall claim gap (self % - validated %)</t>
  </si>
  <si>
    <t>Audit outcome</t>
  </si>
  <si>
    <t>Number of papers with student authors</t>
  </si>
  <si>
    <t>7.4</t>
  </si>
  <si>
    <t>Sign-off</t>
  </si>
  <si>
    <t>Auditor 1</t>
  </si>
  <si>
    <t>Signature / date:</t>
  </si>
  <si>
    <t>Auditor 2</t>
  </si>
  <si>
    <t>HoD (audited department)</t>
  </si>
  <si>
    <t>Head - IQAC</t>
  </si>
  <si>
    <t>Principal</t>
  </si>
  <si>
    <t>QUANTITATIVE MODEL RESULTS (from the C1-C9 Quantitative tabs)</t>
  </si>
  <si>
    <t>9.6.a</t>
  </si>
  <si>
    <t>Strategic plan targets achieved (9.6.1)</t>
  </si>
  <si>
    <t>Strategic plan targets achieved</t>
  </si>
  <si>
    <t>Target has evidence of achievement for the period</t>
  </si>
  <si>
    <t>Targets</t>
  </si>
  <si>
    <t>Random targets from strategic plan</t>
  </si>
  <si>
    <t>Most targets achieved</t>
  </si>
  <si>
    <t>7.5</t>
  </si>
  <si>
    <t>9.6.b</t>
  </si>
  <si>
    <t>Statutory body meetings held (9.6.2)</t>
  </si>
  <si>
    <t>CRITERION 5 - FACULTY INFORMATION</t>
  </si>
  <si>
    <t>Statutory body meetings held</t>
  </si>
  <si>
    <t>Signed minutes of GB/AC/BoS/DAB/IQAC meeting</t>
  </si>
  <si>
    <t>Check every required meeting</t>
  </si>
  <si>
    <t>All held with minutes</t>
  </si>
  <si>
    <t>Several missed</t>
  </si>
  <si>
    <t>9.6.c</t>
  </si>
  <si>
    <t>Mandatory disclosures updated (9.6.3)</t>
  </si>
  <si>
    <t>Mandatory disclosures updated</t>
  </si>
  <si>
    <t>Item on website is current for the period</t>
  </si>
  <si>
    <t>Disclosure items</t>
  </si>
  <si>
    <t>Random items from AICTE/NBA disclosure list; open website</t>
  </si>
  <si>
    <t>Few outdated</t>
  </si>
  <si>
    <t>Many outdated</t>
  </si>
  <si>
    <t>Not updated</t>
  </si>
  <si>
    <t>Faculty available / Faculty required for SFR 1:20</t>
  </si>
  <si>
    <t>Institute budget</t>
  </si>
  <si>
    <t>8.1</t>
  </si>
  <si>
    <t>9.7.a</t>
  </si>
  <si>
    <t>Institute budget utilisation</t>
  </si>
  <si>
    <t>Expenditure entry matches voucher and audited statement</t>
  </si>
  <si>
    <t>Budget heads</t>
  </si>
  <si>
    <t>Random budget heads; match with audited accounts</t>
  </si>
  <si>
    <t>High utilisation, verified</t>
  </si>
  <si>
    <t>Moderate</t>
  </si>
  <si>
    <t>Low</t>
  </si>
  <si>
    <t>Programme budget</t>
  </si>
  <si>
    <t>Faculty with Ph.D. / Total faculty</t>
  </si>
  <si>
    <t>9.8.a</t>
  </si>
  <si>
    <t>Department budget utilisation</t>
  </si>
  <si>
    <t>Purchase/expense entry matches voucher and stock register</t>
  </si>
  <si>
    <t>Random heads; check vouchers and stock entries</t>
  </si>
  <si>
    <t>Faculty registered for Ph.D. / Faculty without Ph.D.</t>
  </si>
  <si>
    <t>Learning resources</t>
  </si>
  <si>
    <t>9.9.a</t>
  </si>
  <si>
    <t>Learning resource use</t>
  </si>
  <si>
    <t>Student appears in library/e-resource access log</t>
  </si>
  <si>
    <t>Random students; check library and e-resource logs</t>
  </si>
  <si>
    <t>Most students use</t>
  </si>
  <si>
    <t>8.2</t>
  </si>
  <si>
    <t>Professors available / Professors required (1:2:6)</t>
  </si>
  <si>
    <t>E-governance</t>
  </si>
  <si>
    <t>8.3</t>
  </si>
  <si>
    <t>Associate Professors available / Required (1:2:6)</t>
  </si>
  <si>
    <t>9.10.a</t>
  </si>
  <si>
    <t>ERP modules in use</t>
  </si>
  <si>
    <t>Module has live transactions in the period (screen demo)</t>
  </si>
  <si>
    <t>Modules</t>
  </si>
  <si>
    <t>Demo every claimed module</t>
  </si>
  <si>
    <t>All in active use</t>
  </si>
  <si>
    <t>Assistant Professors available / Required (1:2:6)</t>
  </si>
  <si>
    <t>SDG initiatives</t>
  </si>
  <si>
    <t>8.4</t>
  </si>
  <si>
    <t>9.11.a</t>
  </si>
  <si>
    <t>Initiative report with SDG mapping, date, participants and photos</t>
  </si>
  <si>
    <t>Initiatives (count)</t>
  </si>
  <si>
    <t>9.2</t>
  </si>
  <si>
    <t>9.8</t>
  </si>
  <si>
    <t>Contact hours by visiting/adjunct faculty / Target hours</t>
  </si>
  <si>
    <t>Innovative educational initiatives</t>
  </si>
  <si>
    <t>9.12.a</t>
  </si>
  <si>
    <t>Initiative documented with design, implementation and impact data</t>
  </si>
  <si>
    <t>Meets benchmark, impact shown</t>
  </si>
  <si>
    <t>9.1</t>
  </si>
  <si>
    <t>Faculty appraisal (FPADS)</t>
  </si>
  <si>
    <t>Faculty retained 2 years or more / Faculty at start of period</t>
  </si>
  <si>
    <t>9.13.a</t>
  </si>
  <si>
    <t>Faculty appraisal with development plan</t>
  </si>
  <si>
    <t>FPADS form completed, reviewed and with development plan</t>
  </si>
  <si>
    <t>Random faculty</t>
  </si>
  <si>
    <t>All appraised with plans</t>
  </si>
  <si>
    <t>AUDIT ALLOCATION - Mid-Semester (cross-department, same institute) and End-Semester (cross-institutional)</t>
  </si>
  <si>
    <t>Pick auditors from the pool (yellow). Institute/department fill automatically and column J checks the deployment rule.</t>
  </si>
  <si>
    <t>Audited institute</t>
  </si>
  <si>
    <t>Audited department</t>
  </si>
  <si>
    <t>Auditor 1 institute</t>
  </si>
  <si>
    <t>Auditor 1 dept</t>
  </si>
  <si>
    <t>Auditor 2 institute</t>
  </si>
  <si>
    <t>Auditor 2 dept</t>
  </si>
  <si>
    <t>Deployment rule check</t>
  </si>
  <si>
    <t>Digital review from</t>
  </si>
  <si>
    <t>Digital review to</t>
  </si>
  <si>
    <t>Physical audit date</t>
  </si>
  <si>
    <t>Status</t>
  </si>
  <si>
    <t>Outreach activities</t>
  </si>
  <si>
    <t>9.14.a</t>
  </si>
  <si>
    <t>Activity report with date, community/beneficiaries, photos</t>
  </si>
  <si>
    <t>Activities (count)</t>
  </si>
  <si>
    <t>9.3</t>
  </si>
  <si>
    <t>CRITERION 6 - FACULTY CONTRIBUTIONS</t>
  </si>
  <si>
    <t>CRITERION 9 TOTAL</t>
  </si>
  <si>
    <t>Faculty with active membership / Total faculty</t>
  </si>
  <si>
    <t>Number of resource-person engagements</t>
  </si>
  <si>
    <t>Faculty attending at least one FDP/STTP / Total faculty</t>
  </si>
  <si>
    <t>9.4</t>
  </si>
  <si>
    <t>POOLED AUDITORS - KRGI (KRCT + KRCE + MKCE)</t>
  </si>
  <si>
    <t>Source: KRGI AUDIT TEAM sheet (KRCT and KRCE tabs). MKCE nominations pending - add them in the yellow rows.</t>
  </si>
  <si>
    <t>Sl. No</t>
  </si>
  <si>
    <t>Name</t>
  </si>
  <si>
    <t>Designation</t>
  </si>
  <si>
    <t>Experience</t>
  </si>
  <si>
    <t>Mail ID</t>
  </si>
  <si>
    <t>Number of e-content modules or MOOCs developed</t>
  </si>
  <si>
    <t>Dr.A.Oorkalan</t>
  </si>
  <si>
    <t>HoD/Associate Professor</t>
  </si>
  <si>
    <t>10 and above</t>
  </si>
  <si>
    <t>Mrs.R.Eswari</t>
  </si>
  <si>
    <t>Assistant Professor</t>
  </si>
  <si>
    <t>3 - 5 years</t>
  </si>
  <si>
    <t>Dr.S.Dinesh</t>
  </si>
  <si>
    <t>Mr.K.Rajaguru</t>
  </si>
  <si>
    <t>Mr.N.Parkunam</t>
  </si>
  <si>
    <t>AHoD/Assistant Professor</t>
  </si>
  <si>
    <t>9.5</t>
  </si>
  <si>
    <t>Dr.Syed Akbar</t>
  </si>
  <si>
    <t>Faculty certified in MOOCs / Total faculty</t>
  </si>
  <si>
    <t>Ms.S.Geerthana</t>
  </si>
  <si>
    <t>Mrs.R.Bhavani</t>
  </si>
  <si>
    <t>Dr.A.Punitha</t>
  </si>
  <si>
    <t>Professor</t>
  </si>
  <si>
    <t>Dr.A.T.Sankara Subramaiyan</t>
  </si>
  <si>
    <t>Dr.R.Madavan</t>
  </si>
  <si>
    <t>Associate Professor</t>
  </si>
  <si>
    <t>Mr.R.Rajavarman</t>
  </si>
  <si>
    <t>HoD/Assistant Professor</t>
  </si>
  <si>
    <t>Mr.P.Matheshwaran</t>
  </si>
  <si>
    <t>Mrs.M.Mathumathi</t>
  </si>
  <si>
    <t>Mr.M.Saravanan</t>
  </si>
  <si>
    <t>Number of FDP/STTPs organised</t>
  </si>
  <si>
    <t>Dr.C.Muthukumaran</t>
  </si>
  <si>
    <t>HoD</t>
  </si>
  <si>
    <t>Mr.R.Roshan Joshua</t>
  </si>
  <si>
    <t>Mr.T.Praveen Kumar</t>
  </si>
  <si>
    <t>Dr.C.Shyamala</t>
  </si>
  <si>
    <t>Mr.A.Malarmannan</t>
  </si>
  <si>
    <t>9.6</t>
  </si>
  <si>
    <t>Mr.S.Saravanakumar</t>
  </si>
  <si>
    <t>Dr.C.Kalaivanan</t>
  </si>
  <si>
    <t>Mrs.V.Sankari</t>
  </si>
  <si>
    <t>AHoD/Asst.Prof.</t>
  </si>
  <si>
    <t>sankariv.ai@krce.ac.in</t>
  </si>
  <si>
    <t>Mrs.M.Kavitha</t>
  </si>
  <si>
    <t>Asst.Prof.</t>
  </si>
  <si>
    <t>kavitham.ai@krce.ac.in</t>
  </si>
  <si>
    <t>Number of innovative student projects guided</t>
  </si>
  <si>
    <t>Mrs.S.Jagadeeswari</t>
  </si>
  <si>
    <t>jagadeeswaris.ai@krce.ac.in</t>
  </si>
  <si>
    <t>Dr.T.Suresh</t>
  </si>
  <si>
    <t>suresht.ai@krce.ac.in</t>
  </si>
  <si>
    <t>Mrs.R.Kamalitta</t>
  </si>
  <si>
    <t>kamalittarit@krce.ac.in</t>
  </si>
  <si>
    <t>Dr.S.Kavitha</t>
  </si>
  <si>
    <t>kavithas.it@krce.ac.in</t>
  </si>
  <si>
    <t>Mrs.M.Ruba</t>
  </si>
  <si>
    <t>rubamcse@krce.ac.in</t>
  </si>
  <si>
    <t>Mrs.P.Sivamalar</t>
  </si>
  <si>
    <t>sivamalarpcse@krce.ac.in</t>
  </si>
  <si>
    <t>Ms.M.Subashree</t>
  </si>
  <si>
    <t>subashreemcse@krce.ac.in</t>
  </si>
  <si>
    <t>Mrs.S.Saranya</t>
  </si>
  <si>
    <t>saranyas.cse@krce.ac.in</t>
  </si>
  <si>
    <t>Dr.P.Shanmuga Priya</t>
  </si>
  <si>
    <t>shanmugapriyapcse@krce.ac.in</t>
  </si>
  <si>
    <t>Faculty with industry internship or training / Total faculty</t>
  </si>
  <si>
    <t>Dr.S.Saravanakumar</t>
  </si>
  <si>
    <t>saravanakumars.csbs@krce.ac.in</t>
  </si>
  <si>
    <t>Mr.N.R.Nagarajan</t>
  </si>
  <si>
    <t>nrnagarajan@krce.ac.in</t>
  </si>
  <si>
    <t>Mrs.R.Ramya</t>
  </si>
  <si>
    <t>ramyarece@krce.ac.in</t>
  </si>
  <si>
    <t>Dr.A.Nallathambi</t>
  </si>
  <si>
    <t>Asso.Prof.</t>
  </si>
  <si>
    <t>nallathambia.ece@krce.ac.in</t>
  </si>
  <si>
    <t>Mrs.N.Srividhya</t>
  </si>
  <si>
    <t>srividhyan.ece@krce.ac.in</t>
  </si>
  <si>
    <t>Mr.A.Subramaniya Siva</t>
  </si>
  <si>
    <t>subramaniyasiva@krce.ac.in</t>
  </si>
  <si>
    <t>Mr.P.Vigneshwaran</t>
  </si>
  <si>
    <t>vigneshwaran@krce.ac.in</t>
  </si>
  <si>
    <t>Mr.A.Mohana Krishnan</t>
  </si>
  <si>
    <t>amk3745@krce.ac.in</t>
  </si>
  <si>
    <t>Mr.M.Manimaran</t>
  </si>
  <si>
    <t>manimaran@krce.ac.in</t>
  </si>
  <si>
    <t>Dr.R.Manimegalai</t>
  </si>
  <si>
    <t>HoD/Asst.Prof. (Physics)</t>
  </si>
  <si>
    <t>manimegalai.r@krce.ac.in</t>
  </si>
  <si>
    <t>Dr.P.Sugapriya</t>
  </si>
  <si>
    <t>AHoD/Asst.Prof. (Maths)</t>
  </si>
  <si>
    <t>sugapriyap.maths@krce.ac.in</t>
  </si>
  <si>
    <t>Number of Scopus / WoS indexed publications</t>
  </si>
  <si>
    <t>Number of patents filed / published / granted</t>
  </si>
  <si>
    <t>Number of Ph.D. scholars registered / awarded under dept faculty</t>
  </si>
  <si>
    <t>Number of products, lab set-ups, instructional materials developed</t>
  </si>
  <si>
    <t>9.7</t>
  </si>
  <si>
    <t>Seed money / internal grant to dept faculty (Rs. lakhs)</t>
  </si>
  <si>
    <t>9.9</t>
  </si>
  <si>
    <t>SETTINGS (edit yellow cells only)</t>
  </si>
  <si>
    <t>Parameter</t>
  </si>
  <si>
    <t>Value</t>
  </si>
  <si>
    <t>Note</t>
  </si>
  <si>
    <t>Y: score greater than</t>
  </si>
  <si>
    <t>Y if score &gt; this value</t>
  </si>
  <si>
    <t>C: score from</t>
  </si>
  <si>
    <t>C if score &gt;= this value and not Y</t>
  </si>
  <si>
    <t>W: score from</t>
  </si>
  <si>
    <t>W if score &gt;= this value and below C; D below this value</t>
  </si>
  <si>
    <t>Qualitative rubric maximum score</t>
  </si>
  <si>
    <t>Auditor scores 0 to this value</t>
  </si>
  <si>
    <t>Claim-vs-audit gap that makes physical check mandatory</t>
  </si>
  <si>
    <t>Self % minus digital % above this triggers 'Mandatory'</t>
  </si>
  <si>
    <t>Institutes</t>
  </si>
  <si>
    <t>Dashboard status</t>
  </si>
  <si>
    <t>Physical check result</t>
  </si>
  <si>
    <t>Departments</t>
  </si>
  <si>
    <t>Odd</t>
  </si>
  <si>
    <t>Complete</t>
  </si>
  <si>
    <t>Verified</t>
  </si>
  <si>
    <t>Open</t>
  </si>
  <si>
    <t>Not started</t>
  </si>
  <si>
    <t>Matches claim</t>
  </si>
  <si>
    <t>Even</t>
  </si>
  <si>
    <t>Partial</t>
  </si>
  <si>
    <t>Partially Verified</t>
  </si>
  <si>
    <t>In Progress</t>
  </si>
  <si>
    <t>Digital audit done</t>
  </si>
  <si>
    <t>Partially matches</t>
  </si>
  <si>
    <t>Not Uploaded</t>
  </si>
  <si>
    <t>Not Verified</t>
  </si>
  <si>
    <t>Closed</t>
  </si>
  <si>
    <t>Physical audit done</t>
  </si>
  <si>
    <t>Does not match</t>
  </si>
  <si>
    <t>Not Sampled</t>
  </si>
  <si>
    <t>Report issued</t>
  </si>
  <si>
    <t>Not checked</t>
  </si>
  <si>
    <t>ATR closed</t>
  </si>
  <si>
    <t>CRITERION 7 - FACILITIES AND TECHNICAL SUPPORT</t>
  </si>
  <si>
    <t>9.10</t>
  </si>
  <si>
    <t>Labs available / Labs required by curriculum</t>
  </si>
  <si>
    <t>9.11</t>
  </si>
  <si>
    <t>Working equipment / Equipment in stock register</t>
  </si>
  <si>
    <t>9.12</t>
  </si>
  <si>
    <t>Lab sessions with batch size within norm / Lab sessions</t>
  </si>
  <si>
    <t>9.13</t>
  </si>
  <si>
    <t>Technical staff available / Technical staff required</t>
  </si>
  <si>
    <t>9.14</t>
  </si>
  <si>
    <t>Number of additional facilities created</t>
  </si>
  <si>
    <t>Hours used / Hours available</t>
  </si>
  <si>
    <t>Equipment with current maintenance/calibration record / Total equipment</t>
  </si>
  <si>
    <t>Labs meeting ambience checklist / Total labs</t>
  </si>
  <si>
    <t>Labs meeting safety checklist (extinguisher, first aid, signage, SOP) / Total labs</t>
  </si>
  <si>
    <t>Number of project labs, research labs or CoEs</t>
  </si>
  <si>
    <t>Number of projects, papers, certifications from CoE</t>
  </si>
  <si>
    <t>CRITERION 8 - CONTINUOUS IMPROVEMENT</t>
  </si>
  <si>
    <t>Courses below CO target with action plan / Courses below target</t>
  </si>
  <si>
    <t>Actions implemented / Actions planned</t>
  </si>
  <si>
    <t>POs/PSOs below target with action plan / POs/PSOs below target</t>
  </si>
  <si>
    <t>POs/PSOs improved over previous year / POs/PSOs below target last year</t>
  </si>
  <si>
    <t>Observations closed / Observations raised</t>
  </si>
  <si>
    <t>Audits conducted / Audits scheduled</t>
  </si>
  <si>
    <t>Current % faculty with Ph.D. (validated) vs target %</t>
  </si>
  <si>
    <t>Current publications + FDPs (validated) vs target count</t>
  </si>
  <si>
    <t>Current pass % (validated) vs target %</t>
  </si>
  <si>
    <t>Current average CGPA (validated) vs target CGPA</t>
  </si>
  <si>
    <t>CRITERION 9 - STUDENT SUPPORT AND GOVERNANCE</t>
  </si>
  <si>
    <t>First-year faculty available / Required for FYSFR norm</t>
  </si>
  <si>
    <t>Students with assigned mentor / Students on roll</t>
  </si>
  <si>
    <t>Meetings held / Meetings scheduled</t>
  </si>
  <si>
    <t>Courses with feedback collected and analysed / Courses offered</t>
  </si>
  <si>
    <t>Corrective actions taken / Issues identified</t>
  </si>
  <si>
    <t>Issues resolved / Issues raised</t>
  </si>
  <si>
    <t>Eligible students trained / Eligible students</t>
  </si>
  <si>
    <t>Number of companies for placement</t>
  </si>
  <si>
    <t>Number of activities and startups</t>
  </si>
  <si>
    <t>Targets achieved / Targets for the period</t>
  </si>
  <si>
    <t>Meetings held / Meetings required</t>
  </si>
  <si>
    <t>Items updated on website / Items required</t>
  </si>
  <si>
    <t>Budget utilised / Budget allocated</t>
  </si>
  <si>
    <t>Students using library / e-resources / Students on roll</t>
  </si>
  <si>
    <t>Modules used / Modules available</t>
  </si>
  <si>
    <t>Number of SDG initiatives implemented</t>
  </si>
  <si>
    <t>Number of initiatives implemented</t>
  </si>
  <si>
    <t>Faculty appraised with development plan / Total faculty</t>
  </si>
  <si>
    <t>Number of outreach activities</t>
  </si>
  <si>
    <t>ALL CRITERIA (C1-C9)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</si>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</sst>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8">
    <font>
      <sz val="11"/>
      <color theme="1"/>
      <name val="Calibri"/>
      <scheme val="minor"/>
    </font>
    <font>
      <b/>
      <sz val="14"/>
      <color rgb="FF1F3864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name val="Calibri"/>
    </font>
    <font>
      <sz val="11"/>
      <color rgb="FF0000FF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  <fill>
      <patternFill patternType="solid">
        <fgColor rgb="FFEDF1F9"/>
        <bgColor rgb="FFEDF1F9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" borderId="2" xfId="0" applyFont="1" applyFill="1" applyBorder="1"/>
    <xf numFmtId="0" fontId="7" fillId="7" borderId="1" xfId="0" applyFont="1" applyFill="1" applyBorder="1"/>
    <xf numFmtId="9" fontId="2" fillId="0" borderId="1" xfId="0" applyNumberFormat="1" applyFont="1" applyBorder="1"/>
    <xf numFmtId="0" fontId="3" fillId="8" borderId="1" xfId="0" applyFont="1" applyFill="1" applyBorder="1" applyAlignment="1">
      <alignment vertical="top" wrapText="1"/>
    </xf>
    <xf numFmtId="2" fontId="3" fillId="8" borderId="1" xfId="0" applyNumberFormat="1" applyFont="1" applyFill="1" applyBorder="1" applyAlignment="1">
      <alignment vertical="top" wrapText="1"/>
    </xf>
    <xf numFmtId="164" fontId="7" fillId="7" borderId="1" xfId="0" applyNumberFormat="1" applyFont="1" applyFill="1" applyBorder="1"/>
    <xf numFmtId="9" fontId="7" fillId="7" borderId="1" xfId="0" applyNumberFormat="1" applyFont="1" applyFill="1" applyBorder="1"/>
    <xf numFmtId="0" fontId="3" fillId="8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2" fontId="3" fillId="8" borderId="1" xfId="0" applyNumberFormat="1" applyFont="1" applyFill="1" applyBorder="1"/>
    <xf numFmtId="2" fontId="4" fillId="0" borderId="1" xfId="0" applyNumberFormat="1" applyFont="1" applyBorder="1" applyAlignment="1">
      <alignment vertical="top" wrapText="1"/>
    </xf>
    <xf numFmtId="0" fontId="3" fillId="9" borderId="1" xfId="0" applyFont="1" applyFill="1" applyBorder="1"/>
    <xf numFmtId="0" fontId="2" fillId="0" borderId="1" xfId="0" applyFont="1" applyBorder="1" applyAlignment="1">
      <alignment vertical="top" wrapText="1"/>
    </xf>
    <xf numFmtId="9" fontId="7" fillId="7" borderId="1" xfId="0" applyNumberFormat="1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2" fontId="2" fillId="0" borderId="1" xfId="0" applyNumberFormat="1" applyFont="1" applyBorder="1"/>
    <xf numFmtId="165" fontId="2" fillId="0" borderId="1" xfId="0" applyNumberFormat="1" applyFont="1" applyBorder="1"/>
    <xf numFmtId="2" fontId="3" fillId="9" borderId="1" xfId="0" applyNumberFormat="1" applyFont="1" applyFill="1" applyBorder="1"/>
    <xf numFmtId="9" fontId="4" fillId="0" borderId="0" xfId="0" applyNumberFormat="1" applyFont="1"/>
    <xf numFmtId="2" fontId="4" fillId="0" borderId="0" xfId="0" applyNumberFormat="1" applyFont="1"/>
    <xf numFmtId="2" fontId="3" fillId="9" borderId="1" xfId="0" applyNumberFormat="1" applyFont="1" applyFill="1" applyBorder="1" applyAlignment="1">
      <alignment vertical="top" wrapText="1"/>
    </xf>
    <xf numFmtId="0" fontId="3" fillId="0" borderId="1" xfId="0" applyFont="1" applyBorder="1"/>
    <xf numFmtId="165" fontId="3" fillId="0" borderId="1" xfId="0" applyNumberFormat="1" applyFont="1" applyBorder="1"/>
    <xf numFmtId="9" fontId="2" fillId="0" borderId="0" xfId="0" applyNumberFormat="1" applyFont="1"/>
    <xf numFmtId="0" fontId="5" fillId="2" borderId="1" xfId="0" applyFont="1" applyFill="1" applyBorder="1"/>
    <xf numFmtId="2" fontId="5" fillId="2" borderId="1" xfId="0" applyNumberFormat="1" applyFont="1" applyFill="1" applyBorder="1"/>
    <xf numFmtId="0" fontId="3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5" fillId="2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4" fillId="0" borderId="0" xfId="0" applyFont="1"/>
  </cellXfs>
  <cellStyles count="1">
    <cellStyle name="Normal" xfId="0" builtinId="0"/>
  </cellStyles>
  <dxfs count="5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1%20Quantitativ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2%20Quantitativ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3%20Quantitative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4%20Quantitative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5%20Quantitative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6%20Quantitative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7%20Quantitative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8%20Quantitativ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9%20Quantit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 Quantitativ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2 Quantitativ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3 Quantitativ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4 Quantitative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5 Quantitative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6 Quantitativ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7 Quantitative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8 Quantitative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9 Quantitative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/>
  <cols>
    <col min="1" max="1" width="150" customWidth="1"/>
    <col min="2" max="26" width="8.7109375" customWidth="1"/>
  </cols>
  <sheetData>
    <row r="1" spans="1:1" ht="18.75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3</v>
      </c>
    </row>
    <row r="5" spans="1:1" ht="30">
      <c r="A5" s="2" t="s">
        <v>4</v>
      </c>
    </row>
    <row r="6" spans="1:1">
      <c r="A6" s="2" t="s">
        <v>5</v>
      </c>
    </row>
    <row r="7" spans="1:1" ht="30">
      <c r="A7" s="2" t="s">
        <v>8</v>
      </c>
    </row>
    <row r="8" spans="1:1">
      <c r="A8" s="2"/>
    </row>
    <row r="9" spans="1:1">
      <c r="A9" s="3" t="s">
        <v>9</v>
      </c>
    </row>
    <row r="10" spans="1:1" ht="30">
      <c r="A10" s="2" t="s">
        <v>10</v>
      </c>
    </row>
    <row r="11" spans="1:1" ht="45">
      <c r="A11" s="2" t="s">
        <v>12</v>
      </c>
    </row>
    <row r="12" spans="1:1">
      <c r="A12" s="2"/>
    </row>
    <row r="13" spans="1:1">
      <c r="A13" s="3" t="s">
        <v>14</v>
      </c>
    </row>
    <row r="14" spans="1:1">
      <c r="A14" s="2" t="s">
        <v>15</v>
      </c>
    </row>
    <row r="15" spans="1:1">
      <c r="A15" s="2" t="s">
        <v>16</v>
      </c>
    </row>
    <row r="16" spans="1:1">
      <c r="A16" s="2"/>
    </row>
    <row r="17" spans="1:1">
      <c r="A17" s="3" t="s">
        <v>17</v>
      </c>
    </row>
    <row r="18" spans="1:1" ht="30">
      <c r="A18" s="2" t="s">
        <v>19</v>
      </c>
    </row>
    <row r="19" spans="1:1">
      <c r="A19" s="2" t="s">
        <v>20</v>
      </c>
    </row>
    <row r="20" spans="1:1">
      <c r="A20" s="2" t="s">
        <v>21</v>
      </c>
    </row>
    <row r="21" spans="1:1" ht="15.75" customHeight="1">
      <c r="A21" s="2" t="s">
        <v>24</v>
      </c>
    </row>
    <row r="22" spans="1:1" ht="15.75" customHeight="1">
      <c r="A22" s="2" t="s">
        <v>27</v>
      </c>
    </row>
    <row r="23" spans="1:1" ht="15.75" customHeight="1">
      <c r="A23" s="2" t="s">
        <v>39</v>
      </c>
    </row>
    <row r="24" spans="1:1" ht="15.75" customHeight="1">
      <c r="A24" s="2" t="s">
        <v>40</v>
      </c>
    </row>
    <row r="25" spans="1:1" ht="15.75" customHeight="1">
      <c r="A25" s="2"/>
    </row>
    <row r="26" spans="1:1" ht="15.75" customHeight="1">
      <c r="A26" s="3" t="s">
        <v>42</v>
      </c>
    </row>
    <row r="27" spans="1:1" ht="15.75" customHeight="1">
      <c r="A27" s="2" t="s">
        <v>43</v>
      </c>
    </row>
    <row r="28" spans="1:1" ht="15.75" customHeight="1">
      <c r="A28" s="2"/>
    </row>
    <row r="29" spans="1:1" ht="15.75" customHeight="1">
      <c r="A29" s="3" t="s">
        <v>45</v>
      </c>
    </row>
    <row r="30" spans="1:1" ht="15.75" customHeight="1">
      <c r="A30" s="2" t="s">
        <v>46</v>
      </c>
    </row>
    <row r="31" spans="1:1" ht="15.75" customHeight="1">
      <c r="A31" s="2" t="s">
        <v>48</v>
      </c>
    </row>
    <row r="32" spans="1:1" ht="15.75" customHeight="1">
      <c r="A32" s="2" t="s">
        <v>49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D14" sqref="D14"/>
    </sheetView>
  </sheetViews>
  <sheetFormatPr defaultColWidth="14.42578125" defaultRowHeight="15" customHeight="1"/>
  <cols>
    <col min="1" max="1" width="10" customWidth="1"/>
    <col min="2" max="2" width="13" customWidth="1"/>
    <col min="3" max="3" width="14" customWidth="1"/>
    <col min="4" max="5" width="9" customWidth="1"/>
    <col min="6" max="12" width="8" customWidth="1"/>
    <col min="13" max="13" width="10" customWidth="1"/>
    <col min="14" max="14" width="9" customWidth="1"/>
    <col min="15" max="18" width="8" customWidth="1"/>
    <col min="19" max="19" width="18" customWidth="1"/>
    <col min="20" max="20" width="34" customWidth="1"/>
    <col min="21" max="26" width="8.7109375" customWidth="1"/>
  </cols>
  <sheetData>
    <row r="1" spans="1:20" ht="18.75">
      <c r="A1" s="4" t="s">
        <v>2</v>
      </c>
    </row>
    <row r="2" spans="1:20">
      <c r="A2" s="5" t="s">
        <v>7</v>
      </c>
    </row>
    <row r="4" spans="1:20" ht="45">
      <c r="A4" s="6" t="s">
        <v>13</v>
      </c>
      <c r="B4" s="6" t="s">
        <v>22</v>
      </c>
      <c r="C4" s="6" t="s">
        <v>25</v>
      </c>
      <c r="D4" s="6" t="s">
        <v>28</v>
      </c>
      <c r="E4" s="6" t="s">
        <v>30</v>
      </c>
    </row>
    <row r="5" spans="1:20">
      <c r="A5" s="8" t="s">
        <v>34</v>
      </c>
      <c r="B5" s="8" t="s">
        <v>37</v>
      </c>
      <c r="C5" s="8">
        <f t="shared" ref="C5:C10" si="0">COUNTIFS($A$14:$A$200,A5,$B$14:$B$200,B5,$M$14:$M$200,"&lt;&gt;")</f>
        <v>0</v>
      </c>
      <c r="D5" s="15" t="str">
        <f t="shared" ref="D5:D10" si="1">IF(C5=0,"",AVERAGEIFS($M$14:$M$200,$A$14:$A$200,A5,$B$14:$B$200,B5))</f>
        <v/>
      </c>
      <c r="E5" s="8" t="str">
        <f t="shared" ref="E5:E10" si="2">IF(D5="","",IF(D5&gt;YT,"Y",IF(D5&gt;=CT,"C",IF(D5&gt;=WT,"W","D"))))</f>
        <v/>
      </c>
    </row>
    <row r="6" spans="1:20">
      <c r="A6" s="8" t="s">
        <v>34</v>
      </c>
      <c r="B6" s="8" t="s">
        <v>61</v>
      </c>
      <c r="C6" s="8">
        <f t="shared" si="0"/>
        <v>0</v>
      </c>
      <c r="D6" s="15" t="str">
        <f t="shared" si="1"/>
        <v/>
      </c>
      <c r="E6" s="8" t="str">
        <f t="shared" si="2"/>
        <v/>
      </c>
    </row>
    <row r="7" spans="1:20">
      <c r="A7" s="8" t="s">
        <v>62</v>
      </c>
      <c r="B7" s="8" t="s">
        <v>37</v>
      </c>
      <c r="C7" s="8">
        <f t="shared" si="0"/>
        <v>0</v>
      </c>
      <c r="D7" s="15" t="str">
        <f t="shared" si="1"/>
        <v/>
      </c>
      <c r="E7" s="8" t="str">
        <f t="shared" si="2"/>
        <v/>
      </c>
    </row>
    <row r="8" spans="1:20">
      <c r="A8" s="8" t="s">
        <v>62</v>
      </c>
      <c r="B8" s="8" t="s">
        <v>61</v>
      </c>
      <c r="C8" s="8">
        <f t="shared" si="0"/>
        <v>0</v>
      </c>
      <c r="D8" s="15" t="str">
        <f t="shared" si="1"/>
        <v/>
      </c>
      <c r="E8" s="8" t="str">
        <f t="shared" si="2"/>
        <v/>
      </c>
    </row>
    <row r="9" spans="1:20">
      <c r="A9" s="8" t="s">
        <v>63</v>
      </c>
      <c r="B9" s="8" t="s">
        <v>37</v>
      </c>
      <c r="C9" s="8">
        <f t="shared" si="0"/>
        <v>0</v>
      </c>
      <c r="D9" s="15" t="str">
        <f t="shared" si="1"/>
        <v/>
      </c>
      <c r="E9" s="8" t="str">
        <f t="shared" si="2"/>
        <v/>
      </c>
    </row>
    <row r="10" spans="1:20">
      <c r="A10" s="8" t="s">
        <v>63</v>
      </c>
      <c r="B10" s="8" t="s">
        <v>61</v>
      </c>
      <c r="C10" s="8">
        <f t="shared" si="0"/>
        <v>0</v>
      </c>
      <c r="D10" s="15" t="str">
        <f t="shared" si="1"/>
        <v/>
      </c>
      <c r="E10" s="8" t="str">
        <f t="shared" si="2"/>
        <v/>
      </c>
    </row>
    <row r="13" spans="1:20" ht="30">
      <c r="A13" s="6" t="s">
        <v>13</v>
      </c>
      <c r="B13" s="6" t="s">
        <v>58</v>
      </c>
      <c r="C13" s="6" t="s">
        <v>22</v>
      </c>
      <c r="D13" s="6" t="s">
        <v>54</v>
      </c>
      <c r="E13" s="6" t="s">
        <v>65</v>
      </c>
      <c r="F13" s="6" t="s">
        <v>66</v>
      </c>
      <c r="G13" s="6" t="s">
        <v>67</v>
      </c>
      <c r="H13" s="6" t="s">
        <v>68</v>
      </c>
      <c r="I13" s="6" t="s">
        <v>69</v>
      </c>
      <c r="J13" s="6" t="s">
        <v>70</v>
      </c>
      <c r="K13" s="6" t="s">
        <v>71</v>
      </c>
      <c r="L13" s="6" t="s">
        <v>72</v>
      </c>
      <c r="M13" s="6" t="s">
        <v>73</v>
      </c>
      <c r="N13" s="6" t="s">
        <v>74</v>
      </c>
      <c r="O13" s="6" t="s">
        <v>76</v>
      </c>
      <c r="P13" s="6" t="s">
        <v>77</v>
      </c>
      <c r="Q13" s="6" t="s">
        <v>78</v>
      </c>
      <c r="R13" s="6" t="s">
        <v>79</v>
      </c>
      <c r="S13" s="6" t="s">
        <v>80</v>
      </c>
      <c r="T13" s="6" t="s">
        <v>81</v>
      </c>
    </row>
    <row r="14" spans="1:20">
      <c r="A14" s="8" t="s">
        <v>34</v>
      </c>
      <c r="B14" s="8" t="s">
        <v>82</v>
      </c>
      <c r="C14" s="8" t="s">
        <v>37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8" t="str">
        <f t="shared" ref="N14:N45" si="3">IF(M14="","",IF(M14&gt;YT,"Y",IF(M14&gt;=CT,"C",IF(M14&gt;=WT,"W","D"))))</f>
        <v/>
      </c>
      <c r="O14" s="8">
        <f t="shared" ref="O14:O45" si="4">COUNTIF(D14:L14,"&gt;"&amp;YT)</f>
        <v>0</v>
      </c>
      <c r="P14" s="8">
        <f t="shared" ref="P14:P45" si="5">COUNTIFS(D14:L14,"&gt;="&amp;CT,D14:L14,"&lt;="&amp;YT)</f>
        <v>0</v>
      </c>
      <c r="Q14" s="8">
        <f t="shared" ref="Q14:Q45" si="6">COUNTIFS(D14:L14,"&gt;="&amp;WT,D14:L14,"&lt;"&amp;CT)</f>
        <v>0</v>
      </c>
      <c r="R14" s="8">
        <f t="shared" ref="R14:R45" si="7">COUNTIF(D14:L14,"&lt;"&amp;WT)</f>
        <v>0</v>
      </c>
      <c r="S14" s="14"/>
      <c r="T14" s="14"/>
    </row>
    <row r="15" spans="1:20">
      <c r="A15" s="8" t="s">
        <v>34</v>
      </c>
      <c r="B15" s="8" t="s">
        <v>107</v>
      </c>
      <c r="C15" s="8" t="s">
        <v>37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8" t="str">
        <f t="shared" si="3"/>
        <v/>
      </c>
      <c r="O15" s="8">
        <f t="shared" si="4"/>
        <v>0</v>
      </c>
      <c r="P15" s="8">
        <f t="shared" si="5"/>
        <v>0</v>
      </c>
      <c r="Q15" s="8">
        <f t="shared" si="6"/>
        <v>0</v>
      </c>
      <c r="R15" s="8">
        <f t="shared" si="7"/>
        <v>0</v>
      </c>
      <c r="S15" s="14"/>
      <c r="T15" s="14"/>
    </row>
    <row r="16" spans="1:20">
      <c r="A16" s="8" t="s">
        <v>34</v>
      </c>
      <c r="B16" s="8" t="s">
        <v>109</v>
      </c>
      <c r="C16" s="8" t="s">
        <v>37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8" t="str">
        <f t="shared" si="3"/>
        <v/>
      </c>
      <c r="O16" s="8">
        <f t="shared" si="4"/>
        <v>0</v>
      </c>
      <c r="P16" s="8">
        <f t="shared" si="5"/>
        <v>0</v>
      </c>
      <c r="Q16" s="8">
        <f t="shared" si="6"/>
        <v>0</v>
      </c>
      <c r="R16" s="8">
        <f t="shared" si="7"/>
        <v>0</v>
      </c>
      <c r="S16" s="14"/>
      <c r="T16" s="14"/>
    </row>
    <row r="17" spans="1:20">
      <c r="A17" s="8" t="s">
        <v>34</v>
      </c>
      <c r="B17" s="8" t="s">
        <v>119</v>
      </c>
      <c r="C17" s="8" t="s">
        <v>37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8" t="str">
        <f t="shared" si="3"/>
        <v/>
      </c>
      <c r="O17" s="8">
        <f t="shared" si="4"/>
        <v>0</v>
      </c>
      <c r="P17" s="8">
        <f t="shared" si="5"/>
        <v>0</v>
      </c>
      <c r="Q17" s="8">
        <f t="shared" si="6"/>
        <v>0</v>
      </c>
      <c r="R17" s="8">
        <f t="shared" si="7"/>
        <v>0</v>
      </c>
      <c r="S17" s="14"/>
      <c r="T17" s="14"/>
    </row>
    <row r="18" spans="1:20">
      <c r="A18" s="8" t="s">
        <v>34</v>
      </c>
      <c r="B18" s="8" t="s">
        <v>122</v>
      </c>
      <c r="C18" s="8" t="s">
        <v>37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8" t="str">
        <f t="shared" si="3"/>
        <v/>
      </c>
      <c r="O18" s="8">
        <f t="shared" si="4"/>
        <v>0</v>
      </c>
      <c r="P18" s="8">
        <f t="shared" si="5"/>
        <v>0</v>
      </c>
      <c r="Q18" s="8">
        <f t="shared" si="6"/>
        <v>0</v>
      </c>
      <c r="R18" s="8">
        <f t="shared" si="7"/>
        <v>0</v>
      </c>
      <c r="S18" s="14"/>
      <c r="T18" s="14"/>
    </row>
    <row r="19" spans="1:20">
      <c r="A19" s="8" t="s">
        <v>34</v>
      </c>
      <c r="B19" s="8" t="s">
        <v>134</v>
      </c>
      <c r="C19" s="8" t="s">
        <v>37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8" t="str">
        <f t="shared" si="3"/>
        <v/>
      </c>
      <c r="O19" s="8">
        <f t="shared" si="4"/>
        <v>0</v>
      </c>
      <c r="P19" s="8">
        <f t="shared" si="5"/>
        <v>0</v>
      </c>
      <c r="Q19" s="8">
        <f t="shared" si="6"/>
        <v>0</v>
      </c>
      <c r="R19" s="8">
        <f t="shared" si="7"/>
        <v>0</v>
      </c>
      <c r="S19" s="14"/>
      <c r="T19" s="14"/>
    </row>
    <row r="20" spans="1:20">
      <c r="A20" s="8" t="s">
        <v>34</v>
      </c>
      <c r="B20" s="8" t="s">
        <v>143</v>
      </c>
      <c r="C20" s="8" t="s">
        <v>37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8" t="str">
        <f t="shared" si="3"/>
        <v/>
      </c>
      <c r="O20" s="8">
        <f t="shared" si="4"/>
        <v>0</v>
      </c>
      <c r="P20" s="8">
        <f t="shared" si="5"/>
        <v>0</v>
      </c>
      <c r="Q20" s="8">
        <f t="shared" si="6"/>
        <v>0</v>
      </c>
      <c r="R20" s="8">
        <f t="shared" si="7"/>
        <v>0</v>
      </c>
      <c r="S20" s="14"/>
      <c r="T20" s="14"/>
    </row>
    <row r="21" spans="1:20" ht="15.75" customHeight="1">
      <c r="A21" s="8" t="s">
        <v>34</v>
      </c>
      <c r="B21" s="8" t="s">
        <v>155</v>
      </c>
      <c r="C21" s="8" t="s">
        <v>37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8" t="str">
        <f t="shared" si="3"/>
        <v/>
      </c>
      <c r="O21" s="8">
        <f t="shared" si="4"/>
        <v>0</v>
      </c>
      <c r="P21" s="8">
        <f t="shared" si="5"/>
        <v>0</v>
      </c>
      <c r="Q21" s="8">
        <f t="shared" si="6"/>
        <v>0</v>
      </c>
      <c r="R21" s="8">
        <f t="shared" si="7"/>
        <v>0</v>
      </c>
      <c r="S21" s="14"/>
      <c r="T21" s="14"/>
    </row>
    <row r="22" spans="1:20" ht="15.75" customHeight="1">
      <c r="A22" s="8" t="s">
        <v>34</v>
      </c>
      <c r="B22" s="8" t="s">
        <v>167</v>
      </c>
      <c r="C22" s="8" t="s">
        <v>37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8" t="str">
        <f t="shared" si="3"/>
        <v/>
      </c>
      <c r="O22" s="8">
        <f t="shared" si="4"/>
        <v>0</v>
      </c>
      <c r="P22" s="8">
        <f t="shared" si="5"/>
        <v>0</v>
      </c>
      <c r="Q22" s="8">
        <f t="shared" si="6"/>
        <v>0</v>
      </c>
      <c r="R22" s="8">
        <f t="shared" si="7"/>
        <v>0</v>
      </c>
      <c r="S22" s="14"/>
      <c r="T22" s="14"/>
    </row>
    <row r="23" spans="1:20" ht="15.75" customHeight="1">
      <c r="A23" s="8" t="s">
        <v>62</v>
      </c>
      <c r="B23" s="8" t="s">
        <v>82</v>
      </c>
      <c r="C23" s="8" t="s">
        <v>37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8" t="str">
        <f t="shared" si="3"/>
        <v/>
      </c>
      <c r="O23" s="8">
        <f t="shared" si="4"/>
        <v>0</v>
      </c>
      <c r="P23" s="8">
        <f t="shared" si="5"/>
        <v>0</v>
      </c>
      <c r="Q23" s="8">
        <f t="shared" si="6"/>
        <v>0</v>
      </c>
      <c r="R23" s="8">
        <f t="shared" si="7"/>
        <v>0</v>
      </c>
      <c r="S23" s="14"/>
      <c r="T23" s="14"/>
    </row>
    <row r="24" spans="1:20" ht="15.75" customHeight="1">
      <c r="A24" s="8" t="s">
        <v>62</v>
      </c>
      <c r="B24" s="8" t="s">
        <v>107</v>
      </c>
      <c r="C24" s="8" t="s">
        <v>37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8" t="str">
        <f t="shared" si="3"/>
        <v/>
      </c>
      <c r="O24" s="8">
        <f t="shared" si="4"/>
        <v>0</v>
      </c>
      <c r="P24" s="8">
        <f t="shared" si="5"/>
        <v>0</v>
      </c>
      <c r="Q24" s="8">
        <f t="shared" si="6"/>
        <v>0</v>
      </c>
      <c r="R24" s="8">
        <f t="shared" si="7"/>
        <v>0</v>
      </c>
      <c r="S24" s="14"/>
      <c r="T24" s="14"/>
    </row>
    <row r="25" spans="1:20" ht="15.75" customHeight="1">
      <c r="A25" s="8" t="s">
        <v>62</v>
      </c>
      <c r="B25" s="8" t="s">
        <v>109</v>
      </c>
      <c r="C25" s="8" t="s">
        <v>37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8" t="str">
        <f t="shared" si="3"/>
        <v/>
      </c>
      <c r="O25" s="8">
        <f t="shared" si="4"/>
        <v>0</v>
      </c>
      <c r="P25" s="8">
        <f t="shared" si="5"/>
        <v>0</v>
      </c>
      <c r="Q25" s="8">
        <f t="shared" si="6"/>
        <v>0</v>
      </c>
      <c r="R25" s="8">
        <f t="shared" si="7"/>
        <v>0</v>
      </c>
      <c r="S25" s="14"/>
      <c r="T25" s="14"/>
    </row>
    <row r="26" spans="1:20" ht="15.75" customHeight="1">
      <c r="A26" s="8" t="s">
        <v>62</v>
      </c>
      <c r="B26" s="8" t="s">
        <v>119</v>
      </c>
      <c r="C26" s="8" t="s">
        <v>37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8" t="str">
        <f t="shared" si="3"/>
        <v/>
      </c>
      <c r="O26" s="8">
        <f t="shared" si="4"/>
        <v>0</v>
      </c>
      <c r="P26" s="8">
        <f t="shared" si="5"/>
        <v>0</v>
      </c>
      <c r="Q26" s="8">
        <f t="shared" si="6"/>
        <v>0</v>
      </c>
      <c r="R26" s="8">
        <f t="shared" si="7"/>
        <v>0</v>
      </c>
      <c r="S26" s="14"/>
      <c r="T26" s="14"/>
    </row>
    <row r="27" spans="1:20" ht="15.75" customHeight="1">
      <c r="A27" s="8" t="s">
        <v>62</v>
      </c>
      <c r="B27" s="8" t="s">
        <v>210</v>
      </c>
      <c r="C27" s="8" t="s">
        <v>37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8" t="str">
        <f t="shared" si="3"/>
        <v/>
      </c>
      <c r="O27" s="8">
        <f t="shared" si="4"/>
        <v>0</v>
      </c>
      <c r="P27" s="8">
        <f t="shared" si="5"/>
        <v>0</v>
      </c>
      <c r="Q27" s="8">
        <f t="shared" si="6"/>
        <v>0</v>
      </c>
      <c r="R27" s="8">
        <f t="shared" si="7"/>
        <v>0</v>
      </c>
      <c r="S27" s="14"/>
      <c r="T27" s="14"/>
    </row>
    <row r="28" spans="1:20" ht="15.75" customHeight="1">
      <c r="A28" s="8" t="s">
        <v>62</v>
      </c>
      <c r="B28" s="8" t="s">
        <v>122</v>
      </c>
      <c r="C28" s="8" t="s">
        <v>37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8" t="str">
        <f t="shared" si="3"/>
        <v/>
      </c>
      <c r="O28" s="8">
        <f t="shared" si="4"/>
        <v>0</v>
      </c>
      <c r="P28" s="8">
        <f t="shared" si="5"/>
        <v>0</v>
      </c>
      <c r="Q28" s="8">
        <f t="shared" si="6"/>
        <v>0</v>
      </c>
      <c r="R28" s="8">
        <f t="shared" si="7"/>
        <v>0</v>
      </c>
      <c r="S28" s="14"/>
      <c r="T28" s="14"/>
    </row>
    <row r="29" spans="1:20" ht="15.75" customHeight="1">
      <c r="A29" s="8" t="s">
        <v>62</v>
      </c>
      <c r="B29" s="8" t="s">
        <v>134</v>
      </c>
      <c r="C29" s="8" t="s">
        <v>37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8" t="str">
        <f t="shared" si="3"/>
        <v/>
      </c>
      <c r="O29" s="8">
        <f t="shared" si="4"/>
        <v>0</v>
      </c>
      <c r="P29" s="8">
        <f t="shared" si="5"/>
        <v>0</v>
      </c>
      <c r="Q29" s="8">
        <f t="shared" si="6"/>
        <v>0</v>
      </c>
      <c r="R29" s="8">
        <f t="shared" si="7"/>
        <v>0</v>
      </c>
      <c r="S29" s="14"/>
      <c r="T29" s="14"/>
    </row>
    <row r="30" spans="1:20" ht="15.75" customHeight="1">
      <c r="A30" s="8" t="s">
        <v>62</v>
      </c>
      <c r="B30" s="8" t="s">
        <v>143</v>
      </c>
      <c r="C30" s="8" t="s">
        <v>37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8" t="str">
        <f t="shared" si="3"/>
        <v/>
      </c>
      <c r="O30" s="8">
        <f t="shared" si="4"/>
        <v>0</v>
      </c>
      <c r="P30" s="8">
        <f t="shared" si="5"/>
        <v>0</v>
      </c>
      <c r="Q30" s="8">
        <f t="shared" si="6"/>
        <v>0</v>
      </c>
      <c r="R30" s="8">
        <f t="shared" si="7"/>
        <v>0</v>
      </c>
      <c r="S30" s="14"/>
      <c r="T30" s="14"/>
    </row>
    <row r="31" spans="1:20" ht="15.75" customHeight="1">
      <c r="A31" s="8" t="s">
        <v>62</v>
      </c>
      <c r="B31" s="8" t="s">
        <v>167</v>
      </c>
      <c r="C31" s="8" t="s">
        <v>37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8" t="str">
        <f t="shared" si="3"/>
        <v/>
      </c>
      <c r="O31" s="8">
        <f t="shared" si="4"/>
        <v>0</v>
      </c>
      <c r="P31" s="8">
        <f t="shared" si="5"/>
        <v>0</v>
      </c>
      <c r="Q31" s="8">
        <f t="shared" si="6"/>
        <v>0</v>
      </c>
      <c r="R31" s="8">
        <f t="shared" si="7"/>
        <v>0</v>
      </c>
      <c r="S31" s="14"/>
      <c r="T31" s="14"/>
    </row>
    <row r="32" spans="1:20" ht="15.75" customHeight="1">
      <c r="A32" s="8" t="s">
        <v>63</v>
      </c>
      <c r="B32" s="8" t="s">
        <v>82</v>
      </c>
      <c r="C32" s="8" t="s">
        <v>37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8" t="str">
        <f t="shared" si="3"/>
        <v/>
      </c>
      <c r="O32" s="8">
        <f t="shared" si="4"/>
        <v>0</v>
      </c>
      <c r="P32" s="8">
        <f t="shared" si="5"/>
        <v>0</v>
      </c>
      <c r="Q32" s="8">
        <f t="shared" si="6"/>
        <v>0</v>
      </c>
      <c r="R32" s="8">
        <f t="shared" si="7"/>
        <v>0</v>
      </c>
      <c r="S32" s="14"/>
      <c r="T32" s="14"/>
    </row>
    <row r="33" spans="1:20" ht="15.75" customHeight="1">
      <c r="A33" s="8" t="s">
        <v>63</v>
      </c>
      <c r="B33" s="8" t="s">
        <v>107</v>
      </c>
      <c r="C33" s="8" t="s">
        <v>37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8" t="str">
        <f t="shared" si="3"/>
        <v/>
      </c>
      <c r="O33" s="8">
        <f t="shared" si="4"/>
        <v>0</v>
      </c>
      <c r="P33" s="8">
        <f t="shared" si="5"/>
        <v>0</v>
      </c>
      <c r="Q33" s="8">
        <f t="shared" si="6"/>
        <v>0</v>
      </c>
      <c r="R33" s="8">
        <f t="shared" si="7"/>
        <v>0</v>
      </c>
      <c r="S33" s="14"/>
      <c r="T33" s="14"/>
    </row>
    <row r="34" spans="1:20" ht="15.75" customHeight="1">
      <c r="A34" s="8" t="s">
        <v>63</v>
      </c>
      <c r="B34" s="8" t="s">
        <v>109</v>
      </c>
      <c r="C34" s="8" t="s">
        <v>37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8" t="str">
        <f t="shared" si="3"/>
        <v/>
      </c>
      <c r="O34" s="8">
        <f t="shared" si="4"/>
        <v>0</v>
      </c>
      <c r="P34" s="8">
        <f t="shared" si="5"/>
        <v>0</v>
      </c>
      <c r="Q34" s="8">
        <f t="shared" si="6"/>
        <v>0</v>
      </c>
      <c r="R34" s="8">
        <f t="shared" si="7"/>
        <v>0</v>
      </c>
      <c r="S34" s="14"/>
      <c r="T34" s="14"/>
    </row>
    <row r="35" spans="1:20" ht="15.75" customHeight="1">
      <c r="A35" s="8" t="s">
        <v>63</v>
      </c>
      <c r="B35" s="8" t="s">
        <v>119</v>
      </c>
      <c r="C35" s="8" t="s">
        <v>37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8" t="str">
        <f t="shared" si="3"/>
        <v/>
      </c>
      <c r="O35" s="8">
        <f t="shared" si="4"/>
        <v>0</v>
      </c>
      <c r="P35" s="8">
        <f t="shared" si="5"/>
        <v>0</v>
      </c>
      <c r="Q35" s="8">
        <f t="shared" si="6"/>
        <v>0</v>
      </c>
      <c r="R35" s="8">
        <f t="shared" si="7"/>
        <v>0</v>
      </c>
      <c r="S35" s="14"/>
      <c r="T35" s="14"/>
    </row>
    <row r="36" spans="1:20" ht="15.75" customHeight="1">
      <c r="A36" s="8" t="s">
        <v>63</v>
      </c>
      <c r="B36" s="8" t="s">
        <v>210</v>
      </c>
      <c r="C36" s="8" t="s">
        <v>37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8" t="str">
        <f t="shared" si="3"/>
        <v/>
      </c>
      <c r="O36" s="8">
        <f t="shared" si="4"/>
        <v>0</v>
      </c>
      <c r="P36" s="8">
        <f t="shared" si="5"/>
        <v>0</v>
      </c>
      <c r="Q36" s="8">
        <f t="shared" si="6"/>
        <v>0</v>
      </c>
      <c r="R36" s="8">
        <f t="shared" si="7"/>
        <v>0</v>
      </c>
      <c r="S36" s="14"/>
      <c r="T36" s="14"/>
    </row>
    <row r="37" spans="1:20" ht="15.75" customHeight="1">
      <c r="A37" s="8" t="s">
        <v>63</v>
      </c>
      <c r="B37" s="8" t="s">
        <v>122</v>
      </c>
      <c r="C37" s="8" t="s">
        <v>37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8" t="str">
        <f t="shared" si="3"/>
        <v/>
      </c>
      <c r="O37" s="8">
        <f t="shared" si="4"/>
        <v>0</v>
      </c>
      <c r="P37" s="8">
        <f t="shared" si="5"/>
        <v>0</v>
      </c>
      <c r="Q37" s="8">
        <f t="shared" si="6"/>
        <v>0</v>
      </c>
      <c r="R37" s="8">
        <f t="shared" si="7"/>
        <v>0</v>
      </c>
      <c r="S37" s="14"/>
      <c r="T37" s="14"/>
    </row>
    <row r="38" spans="1:20" ht="15.75" customHeight="1">
      <c r="A38" s="8" t="s">
        <v>63</v>
      </c>
      <c r="B38" s="8" t="s">
        <v>134</v>
      </c>
      <c r="C38" s="8" t="s">
        <v>37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8" t="str">
        <f t="shared" si="3"/>
        <v/>
      </c>
      <c r="O38" s="8">
        <f t="shared" si="4"/>
        <v>0</v>
      </c>
      <c r="P38" s="8">
        <f t="shared" si="5"/>
        <v>0</v>
      </c>
      <c r="Q38" s="8">
        <f t="shared" si="6"/>
        <v>0</v>
      </c>
      <c r="R38" s="8">
        <f t="shared" si="7"/>
        <v>0</v>
      </c>
      <c r="S38" s="14"/>
      <c r="T38" s="14"/>
    </row>
    <row r="39" spans="1:20" ht="15.75" customHeight="1">
      <c r="A39" s="8" t="s">
        <v>63</v>
      </c>
      <c r="B39" s="8" t="s">
        <v>143</v>
      </c>
      <c r="C39" s="8" t="s">
        <v>37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8" t="str">
        <f t="shared" si="3"/>
        <v/>
      </c>
      <c r="O39" s="8">
        <f t="shared" si="4"/>
        <v>0</v>
      </c>
      <c r="P39" s="8">
        <f t="shared" si="5"/>
        <v>0</v>
      </c>
      <c r="Q39" s="8">
        <f t="shared" si="6"/>
        <v>0</v>
      </c>
      <c r="R39" s="8">
        <f t="shared" si="7"/>
        <v>0</v>
      </c>
      <c r="S39" s="14"/>
      <c r="T39" s="14"/>
    </row>
    <row r="40" spans="1:20" ht="15.75" customHeight="1">
      <c r="A40" s="8" t="s">
        <v>63</v>
      </c>
      <c r="B40" s="8" t="s">
        <v>155</v>
      </c>
      <c r="C40" s="8" t="s">
        <v>37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8" t="str">
        <f t="shared" si="3"/>
        <v/>
      </c>
      <c r="O40" s="8">
        <f t="shared" si="4"/>
        <v>0</v>
      </c>
      <c r="P40" s="8">
        <f t="shared" si="5"/>
        <v>0</v>
      </c>
      <c r="Q40" s="8">
        <f t="shared" si="6"/>
        <v>0</v>
      </c>
      <c r="R40" s="8">
        <f t="shared" si="7"/>
        <v>0</v>
      </c>
      <c r="S40" s="14"/>
      <c r="T40" s="14"/>
    </row>
    <row r="41" spans="1:20" ht="15.75" customHeight="1">
      <c r="A41" s="8" t="s">
        <v>63</v>
      </c>
      <c r="B41" s="8" t="s">
        <v>167</v>
      </c>
      <c r="C41" s="8" t="s">
        <v>37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8" t="str">
        <f t="shared" si="3"/>
        <v/>
      </c>
      <c r="O41" s="8">
        <f t="shared" si="4"/>
        <v>0</v>
      </c>
      <c r="P41" s="8">
        <f t="shared" si="5"/>
        <v>0</v>
      </c>
      <c r="Q41" s="8">
        <f t="shared" si="6"/>
        <v>0</v>
      </c>
      <c r="R41" s="8">
        <f t="shared" si="7"/>
        <v>0</v>
      </c>
      <c r="S41" s="14"/>
      <c r="T41" s="14"/>
    </row>
    <row r="42" spans="1:20" ht="15.75" customHeight="1">
      <c r="A42" s="8" t="s">
        <v>63</v>
      </c>
      <c r="B42" s="8" t="s">
        <v>353</v>
      </c>
      <c r="C42" s="8" t="s">
        <v>37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8" t="str">
        <f t="shared" si="3"/>
        <v/>
      </c>
      <c r="O42" s="8">
        <f t="shared" si="4"/>
        <v>0</v>
      </c>
      <c r="P42" s="8">
        <f t="shared" si="5"/>
        <v>0</v>
      </c>
      <c r="Q42" s="8">
        <f t="shared" si="6"/>
        <v>0</v>
      </c>
      <c r="R42" s="8">
        <f t="shared" si="7"/>
        <v>0</v>
      </c>
      <c r="S42" s="14"/>
      <c r="T42" s="14"/>
    </row>
    <row r="43" spans="1:20" ht="15.75" customHeight="1">
      <c r="A43" s="8" t="s">
        <v>63</v>
      </c>
      <c r="B43" s="8" t="s">
        <v>363</v>
      </c>
      <c r="C43" s="8" t="s">
        <v>37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8" t="str">
        <f t="shared" si="3"/>
        <v/>
      </c>
      <c r="O43" s="8">
        <f t="shared" si="4"/>
        <v>0</v>
      </c>
      <c r="P43" s="8">
        <f t="shared" si="5"/>
        <v>0</v>
      </c>
      <c r="Q43" s="8">
        <f t="shared" si="6"/>
        <v>0</v>
      </c>
      <c r="R43" s="8">
        <f t="shared" si="7"/>
        <v>0</v>
      </c>
      <c r="S43" s="14"/>
      <c r="T43" s="14"/>
    </row>
    <row r="44" spans="1:20" ht="15.75" customHeight="1">
      <c r="A44" s="8" t="s">
        <v>34</v>
      </c>
      <c r="B44" s="8" t="s">
        <v>82</v>
      </c>
      <c r="C44" s="8" t="s">
        <v>61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8" t="str">
        <f t="shared" si="3"/>
        <v/>
      </c>
      <c r="O44" s="8">
        <f t="shared" si="4"/>
        <v>0</v>
      </c>
      <c r="P44" s="8">
        <f t="shared" si="5"/>
        <v>0</v>
      </c>
      <c r="Q44" s="8">
        <f t="shared" si="6"/>
        <v>0</v>
      </c>
      <c r="R44" s="8">
        <f t="shared" si="7"/>
        <v>0</v>
      </c>
      <c r="S44" s="14"/>
      <c r="T44" s="14"/>
    </row>
    <row r="45" spans="1:20" ht="15.75" customHeight="1">
      <c r="A45" s="8" t="s">
        <v>34</v>
      </c>
      <c r="B45" s="8" t="s">
        <v>107</v>
      </c>
      <c r="C45" s="8" t="s">
        <v>61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8" t="str">
        <f t="shared" si="3"/>
        <v/>
      </c>
      <c r="O45" s="8">
        <f t="shared" si="4"/>
        <v>0</v>
      </c>
      <c r="P45" s="8">
        <f t="shared" si="5"/>
        <v>0</v>
      </c>
      <c r="Q45" s="8">
        <f t="shared" si="6"/>
        <v>0</v>
      </c>
      <c r="R45" s="8">
        <f t="shared" si="7"/>
        <v>0</v>
      </c>
      <c r="S45" s="14"/>
      <c r="T45" s="14"/>
    </row>
    <row r="46" spans="1:20" ht="15.75" customHeight="1">
      <c r="A46" s="8" t="s">
        <v>34</v>
      </c>
      <c r="B46" s="8" t="s">
        <v>109</v>
      </c>
      <c r="C46" s="8" t="s">
        <v>61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8" t="str">
        <f t="shared" ref="N46:N77" si="8">IF(M46="","",IF(M46&gt;YT,"Y",IF(M46&gt;=CT,"C",IF(M46&gt;=WT,"W","D"))))</f>
        <v/>
      </c>
      <c r="O46" s="8">
        <f t="shared" ref="O46:O73" si="9">COUNTIF(D46:L46,"&gt;"&amp;YT)</f>
        <v>0</v>
      </c>
      <c r="P46" s="8">
        <f t="shared" ref="P46:P73" si="10">COUNTIFS(D46:L46,"&gt;="&amp;CT,D46:L46,"&lt;="&amp;YT)</f>
        <v>0</v>
      </c>
      <c r="Q46" s="8">
        <f t="shared" ref="Q46:Q73" si="11">COUNTIFS(D46:L46,"&gt;="&amp;WT,D46:L46,"&lt;"&amp;CT)</f>
        <v>0</v>
      </c>
      <c r="R46" s="8">
        <f t="shared" ref="R46:R73" si="12">COUNTIF(D46:L46,"&lt;"&amp;WT)</f>
        <v>0</v>
      </c>
      <c r="S46" s="14"/>
      <c r="T46" s="14"/>
    </row>
    <row r="47" spans="1:20" ht="15.75" customHeight="1">
      <c r="A47" s="8" t="s">
        <v>34</v>
      </c>
      <c r="B47" s="8" t="s">
        <v>119</v>
      </c>
      <c r="C47" s="8" t="s">
        <v>61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8" t="str">
        <f t="shared" si="8"/>
        <v/>
      </c>
      <c r="O47" s="8">
        <f t="shared" si="9"/>
        <v>0</v>
      </c>
      <c r="P47" s="8">
        <f t="shared" si="10"/>
        <v>0</v>
      </c>
      <c r="Q47" s="8">
        <f t="shared" si="11"/>
        <v>0</v>
      </c>
      <c r="R47" s="8">
        <f t="shared" si="12"/>
        <v>0</v>
      </c>
      <c r="S47" s="14"/>
      <c r="T47" s="14"/>
    </row>
    <row r="48" spans="1:20" ht="15.75" customHeight="1">
      <c r="A48" s="8" t="s">
        <v>34</v>
      </c>
      <c r="B48" s="8" t="s">
        <v>122</v>
      </c>
      <c r="C48" s="8" t="s">
        <v>61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8" t="str">
        <f t="shared" si="8"/>
        <v/>
      </c>
      <c r="O48" s="8">
        <f t="shared" si="9"/>
        <v>0</v>
      </c>
      <c r="P48" s="8">
        <f t="shared" si="10"/>
        <v>0</v>
      </c>
      <c r="Q48" s="8">
        <f t="shared" si="11"/>
        <v>0</v>
      </c>
      <c r="R48" s="8">
        <f t="shared" si="12"/>
        <v>0</v>
      </c>
      <c r="S48" s="14"/>
      <c r="T48" s="14"/>
    </row>
    <row r="49" spans="1:20" ht="15.75" customHeight="1">
      <c r="A49" s="8" t="s">
        <v>34</v>
      </c>
      <c r="B49" s="8" t="s">
        <v>134</v>
      </c>
      <c r="C49" s="8" t="s">
        <v>61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8" t="str">
        <f t="shared" si="8"/>
        <v/>
      </c>
      <c r="O49" s="8">
        <f t="shared" si="9"/>
        <v>0</v>
      </c>
      <c r="P49" s="8">
        <f t="shared" si="10"/>
        <v>0</v>
      </c>
      <c r="Q49" s="8">
        <f t="shared" si="11"/>
        <v>0</v>
      </c>
      <c r="R49" s="8">
        <f t="shared" si="12"/>
        <v>0</v>
      </c>
      <c r="S49" s="14"/>
      <c r="T49" s="14"/>
    </row>
    <row r="50" spans="1:20" ht="15.75" customHeight="1">
      <c r="A50" s="8" t="s">
        <v>34</v>
      </c>
      <c r="B50" s="8" t="s">
        <v>143</v>
      </c>
      <c r="C50" s="8" t="s">
        <v>61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8" t="str">
        <f t="shared" si="8"/>
        <v/>
      </c>
      <c r="O50" s="8">
        <f t="shared" si="9"/>
        <v>0</v>
      </c>
      <c r="P50" s="8">
        <f t="shared" si="10"/>
        <v>0</v>
      </c>
      <c r="Q50" s="8">
        <f t="shared" si="11"/>
        <v>0</v>
      </c>
      <c r="R50" s="8">
        <f t="shared" si="12"/>
        <v>0</v>
      </c>
      <c r="S50" s="14"/>
      <c r="T50" s="14"/>
    </row>
    <row r="51" spans="1:20" ht="15.75" customHeight="1">
      <c r="A51" s="8" t="s">
        <v>34</v>
      </c>
      <c r="B51" s="8" t="s">
        <v>155</v>
      </c>
      <c r="C51" s="8" t="s">
        <v>61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8" t="str">
        <f t="shared" si="8"/>
        <v/>
      </c>
      <c r="O51" s="8">
        <f t="shared" si="9"/>
        <v>0</v>
      </c>
      <c r="P51" s="8">
        <f t="shared" si="10"/>
        <v>0</v>
      </c>
      <c r="Q51" s="8">
        <f t="shared" si="11"/>
        <v>0</v>
      </c>
      <c r="R51" s="8">
        <f t="shared" si="12"/>
        <v>0</v>
      </c>
      <c r="S51" s="14"/>
      <c r="T51" s="14"/>
    </row>
    <row r="52" spans="1:20" ht="15.75" customHeight="1">
      <c r="A52" s="8" t="s">
        <v>34</v>
      </c>
      <c r="B52" s="8" t="s">
        <v>167</v>
      </c>
      <c r="C52" s="8" t="s">
        <v>61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8" t="str">
        <f t="shared" si="8"/>
        <v/>
      </c>
      <c r="O52" s="8">
        <f t="shared" si="9"/>
        <v>0</v>
      </c>
      <c r="P52" s="8">
        <f t="shared" si="10"/>
        <v>0</v>
      </c>
      <c r="Q52" s="8">
        <f t="shared" si="11"/>
        <v>0</v>
      </c>
      <c r="R52" s="8">
        <f t="shared" si="12"/>
        <v>0</v>
      </c>
      <c r="S52" s="14"/>
      <c r="T52" s="14"/>
    </row>
    <row r="53" spans="1:20" ht="15.75" customHeight="1">
      <c r="A53" s="8" t="s">
        <v>62</v>
      </c>
      <c r="B53" s="8" t="s">
        <v>82</v>
      </c>
      <c r="C53" s="8" t="s">
        <v>61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8" t="str">
        <f t="shared" si="8"/>
        <v/>
      </c>
      <c r="O53" s="8">
        <f t="shared" si="9"/>
        <v>0</v>
      </c>
      <c r="P53" s="8">
        <f t="shared" si="10"/>
        <v>0</v>
      </c>
      <c r="Q53" s="8">
        <f t="shared" si="11"/>
        <v>0</v>
      </c>
      <c r="R53" s="8">
        <f t="shared" si="12"/>
        <v>0</v>
      </c>
      <c r="S53" s="14"/>
      <c r="T53" s="14"/>
    </row>
    <row r="54" spans="1:20" ht="15.75" customHeight="1">
      <c r="A54" s="8" t="s">
        <v>62</v>
      </c>
      <c r="B54" s="8" t="s">
        <v>107</v>
      </c>
      <c r="C54" s="8" t="s">
        <v>61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8" t="str">
        <f t="shared" si="8"/>
        <v/>
      </c>
      <c r="O54" s="8">
        <f t="shared" si="9"/>
        <v>0</v>
      </c>
      <c r="P54" s="8">
        <f t="shared" si="10"/>
        <v>0</v>
      </c>
      <c r="Q54" s="8">
        <f t="shared" si="11"/>
        <v>0</v>
      </c>
      <c r="R54" s="8">
        <f t="shared" si="12"/>
        <v>0</v>
      </c>
      <c r="S54" s="14"/>
      <c r="T54" s="14"/>
    </row>
    <row r="55" spans="1:20" ht="15.75" customHeight="1">
      <c r="A55" s="8" t="s">
        <v>62</v>
      </c>
      <c r="B55" s="8" t="s">
        <v>109</v>
      </c>
      <c r="C55" s="8" t="s">
        <v>61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8" t="str">
        <f t="shared" si="8"/>
        <v/>
      </c>
      <c r="O55" s="8">
        <f t="shared" si="9"/>
        <v>0</v>
      </c>
      <c r="P55" s="8">
        <f t="shared" si="10"/>
        <v>0</v>
      </c>
      <c r="Q55" s="8">
        <f t="shared" si="11"/>
        <v>0</v>
      </c>
      <c r="R55" s="8">
        <f t="shared" si="12"/>
        <v>0</v>
      </c>
      <c r="S55" s="14"/>
      <c r="T55" s="14"/>
    </row>
    <row r="56" spans="1:20" ht="15.75" customHeight="1">
      <c r="A56" s="8" t="s">
        <v>62</v>
      </c>
      <c r="B56" s="8" t="s">
        <v>119</v>
      </c>
      <c r="C56" s="8" t="s">
        <v>61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8" t="str">
        <f t="shared" si="8"/>
        <v/>
      </c>
      <c r="O56" s="8">
        <f t="shared" si="9"/>
        <v>0</v>
      </c>
      <c r="P56" s="8">
        <f t="shared" si="10"/>
        <v>0</v>
      </c>
      <c r="Q56" s="8">
        <f t="shared" si="11"/>
        <v>0</v>
      </c>
      <c r="R56" s="8">
        <f t="shared" si="12"/>
        <v>0</v>
      </c>
      <c r="S56" s="14"/>
      <c r="T56" s="14"/>
    </row>
    <row r="57" spans="1:20" ht="15.75" customHeight="1">
      <c r="A57" s="8" t="s">
        <v>62</v>
      </c>
      <c r="B57" s="8" t="s">
        <v>210</v>
      </c>
      <c r="C57" s="8" t="s">
        <v>61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8" t="str">
        <f t="shared" si="8"/>
        <v/>
      </c>
      <c r="O57" s="8">
        <f t="shared" si="9"/>
        <v>0</v>
      </c>
      <c r="P57" s="8">
        <f t="shared" si="10"/>
        <v>0</v>
      </c>
      <c r="Q57" s="8">
        <f t="shared" si="11"/>
        <v>0</v>
      </c>
      <c r="R57" s="8">
        <f t="shared" si="12"/>
        <v>0</v>
      </c>
      <c r="S57" s="14"/>
      <c r="T57" s="14"/>
    </row>
    <row r="58" spans="1:20" ht="15.75" customHeight="1">
      <c r="A58" s="8" t="s">
        <v>62</v>
      </c>
      <c r="B58" s="8" t="s">
        <v>122</v>
      </c>
      <c r="C58" s="8" t="s">
        <v>61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8" t="str">
        <f t="shared" si="8"/>
        <v/>
      </c>
      <c r="O58" s="8">
        <f t="shared" si="9"/>
        <v>0</v>
      </c>
      <c r="P58" s="8">
        <f t="shared" si="10"/>
        <v>0</v>
      </c>
      <c r="Q58" s="8">
        <f t="shared" si="11"/>
        <v>0</v>
      </c>
      <c r="R58" s="8">
        <f t="shared" si="12"/>
        <v>0</v>
      </c>
      <c r="S58" s="14"/>
      <c r="T58" s="14"/>
    </row>
    <row r="59" spans="1:20" ht="15.75" customHeight="1">
      <c r="A59" s="8" t="s">
        <v>62</v>
      </c>
      <c r="B59" s="8" t="s">
        <v>134</v>
      </c>
      <c r="C59" s="8" t="s">
        <v>61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8" t="str">
        <f t="shared" si="8"/>
        <v/>
      </c>
      <c r="O59" s="8">
        <f t="shared" si="9"/>
        <v>0</v>
      </c>
      <c r="P59" s="8">
        <f t="shared" si="10"/>
        <v>0</v>
      </c>
      <c r="Q59" s="8">
        <f t="shared" si="11"/>
        <v>0</v>
      </c>
      <c r="R59" s="8">
        <f t="shared" si="12"/>
        <v>0</v>
      </c>
      <c r="S59" s="14"/>
      <c r="T59" s="14"/>
    </row>
    <row r="60" spans="1:20" ht="15.75" customHeight="1">
      <c r="A60" s="8" t="s">
        <v>62</v>
      </c>
      <c r="B60" s="8" t="s">
        <v>143</v>
      </c>
      <c r="C60" s="8" t="s">
        <v>61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8" t="str">
        <f t="shared" si="8"/>
        <v/>
      </c>
      <c r="O60" s="8">
        <f t="shared" si="9"/>
        <v>0</v>
      </c>
      <c r="P60" s="8">
        <f t="shared" si="10"/>
        <v>0</v>
      </c>
      <c r="Q60" s="8">
        <f t="shared" si="11"/>
        <v>0</v>
      </c>
      <c r="R60" s="8">
        <f t="shared" si="12"/>
        <v>0</v>
      </c>
      <c r="S60" s="14"/>
      <c r="T60" s="14"/>
    </row>
    <row r="61" spans="1:20" ht="15.75" customHeight="1">
      <c r="A61" s="8" t="s">
        <v>62</v>
      </c>
      <c r="B61" s="8" t="s">
        <v>167</v>
      </c>
      <c r="C61" s="8" t="s">
        <v>61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8" t="str">
        <f t="shared" si="8"/>
        <v/>
      </c>
      <c r="O61" s="8">
        <f t="shared" si="9"/>
        <v>0</v>
      </c>
      <c r="P61" s="8">
        <f t="shared" si="10"/>
        <v>0</v>
      </c>
      <c r="Q61" s="8">
        <f t="shared" si="11"/>
        <v>0</v>
      </c>
      <c r="R61" s="8">
        <f t="shared" si="12"/>
        <v>0</v>
      </c>
      <c r="S61" s="14"/>
      <c r="T61" s="14"/>
    </row>
    <row r="62" spans="1:20" ht="15.75" customHeight="1">
      <c r="A62" s="8" t="s">
        <v>63</v>
      </c>
      <c r="B62" s="8" t="s">
        <v>82</v>
      </c>
      <c r="C62" s="8" t="s">
        <v>61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8" t="str">
        <f t="shared" si="8"/>
        <v/>
      </c>
      <c r="O62" s="8">
        <f t="shared" si="9"/>
        <v>0</v>
      </c>
      <c r="P62" s="8">
        <f t="shared" si="10"/>
        <v>0</v>
      </c>
      <c r="Q62" s="8">
        <f t="shared" si="11"/>
        <v>0</v>
      </c>
      <c r="R62" s="8">
        <f t="shared" si="12"/>
        <v>0</v>
      </c>
      <c r="S62" s="14"/>
      <c r="T62" s="14"/>
    </row>
    <row r="63" spans="1:20" ht="15.75" customHeight="1">
      <c r="A63" s="8" t="s">
        <v>63</v>
      </c>
      <c r="B63" s="8" t="s">
        <v>107</v>
      </c>
      <c r="C63" s="8" t="s">
        <v>61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8" t="str">
        <f t="shared" si="8"/>
        <v/>
      </c>
      <c r="O63" s="8">
        <f t="shared" si="9"/>
        <v>0</v>
      </c>
      <c r="P63" s="8">
        <f t="shared" si="10"/>
        <v>0</v>
      </c>
      <c r="Q63" s="8">
        <f t="shared" si="11"/>
        <v>0</v>
      </c>
      <c r="R63" s="8">
        <f t="shared" si="12"/>
        <v>0</v>
      </c>
      <c r="S63" s="14"/>
      <c r="T63" s="14"/>
    </row>
    <row r="64" spans="1:20" ht="15.75" customHeight="1">
      <c r="A64" s="8" t="s">
        <v>63</v>
      </c>
      <c r="B64" s="8" t="s">
        <v>109</v>
      </c>
      <c r="C64" s="8" t="s">
        <v>61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8" t="str">
        <f t="shared" si="8"/>
        <v/>
      </c>
      <c r="O64" s="8">
        <f t="shared" si="9"/>
        <v>0</v>
      </c>
      <c r="P64" s="8">
        <f t="shared" si="10"/>
        <v>0</v>
      </c>
      <c r="Q64" s="8">
        <f t="shared" si="11"/>
        <v>0</v>
      </c>
      <c r="R64" s="8">
        <f t="shared" si="12"/>
        <v>0</v>
      </c>
      <c r="S64" s="14"/>
      <c r="T64" s="14"/>
    </row>
    <row r="65" spans="1:20" ht="15.75" customHeight="1">
      <c r="A65" s="8" t="s">
        <v>63</v>
      </c>
      <c r="B65" s="8" t="s">
        <v>119</v>
      </c>
      <c r="C65" s="8" t="s">
        <v>61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8" t="str">
        <f t="shared" si="8"/>
        <v/>
      </c>
      <c r="O65" s="8">
        <f t="shared" si="9"/>
        <v>0</v>
      </c>
      <c r="P65" s="8">
        <f t="shared" si="10"/>
        <v>0</v>
      </c>
      <c r="Q65" s="8">
        <f t="shared" si="11"/>
        <v>0</v>
      </c>
      <c r="R65" s="8">
        <f t="shared" si="12"/>
        <v>0</v>
      </c>
      <c r="S65" s="14"/>
      <c r="T65" s="14"/>
    </row>
    <row r="66" spans="1:20" ht="15.75" customHeight="1">
      <c r="A66" s="8" t="s">
        <v>63</v>
      </c>
      <c r="B66" s="8" t="s">
        <v>210</v>
      </c>
      <c r="C66" s="8" t="s">
        <v>61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8" t="str">
        <f t="shared" si="8"/>
        <v/>
      </c>
      <c r="O66" s="8">
        <f t="shared" si="9"/>
        <v>0</v>
      </c>
      <c r="P66" s="8">
        <f t="shared" si="10"/>
        <v>0</v>
      </c>
      <c r="Q66" s="8">
        <f t="shared" si="11"/>
        <v>0</v>
      </c>
      <c r="R66" s="8">
        <f t="shared" si="12"/>
        <v>0</v>
      </c>
      <c r="S66" s="14"/>
      <c r="T66" s="14"/>
    </row>
    <row r="67" spans="1:20" ht="15.75" customHeight="1">
      <c r="A67" s="8" t="s">
        <v>63</v>
      </c>
      <c r="B67" s="8" t="s">
        <v>122</v>
      </c>
      <c r="C67" s="8" t="s">
        <v>61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8" t="str">
        <f t="shared" si="8"/>
        <v/>
      </c>
      <c r="O67" s="8">
        <f t="shared" si="9"/>
        <v>0</v>
      </c>
      <c r="P67" s="8">
        <f t="shared" si="10"/>
        <v>0</v>
      </c>
      <c r="Q67" s="8">
        <f t="shared" si="11"/>
        <v>0</v>
      </c>
      <c r="R67" s="8">
        <f t="shared" si="12"/>
        <v>0</v>
      </c>
      <c r="S67" s="14"/>
      <c r="T67" s="14"/>
    </row>
    <row r="68" spans="1:20" ht="15.75" customHeight="1">
      <c r="A68" s="8" t="s">
        <v>63</v>
      </c>
      <c r="B68" s="8" t="s">
        <v>134</v>
      </c>
      <c r="C68" s="8" t="s">
        <v>61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8" t="str">
        <f t="shared" si="8"/>
        <v/>
      </c>
      <c r="O68" s="8">
        <f t="shared" si="9"/>
        <v>0</v>
      </c>
      <c r="P68" s="8">
        <f t="shared" si="10"/>
        <v>0</v>
      </c>
      <c r="Q68" s="8">
        <f t="shared" si="11"/>
        <v>0</v>
      </c>
      <c r="R68" s="8">
        <f t="shared" si="12"/>
        <v>0</v>
      </c>
      <c r="S68" s="14"/>
      <c r="T68" s="14"/>
    </row>
    <row r="69" spans="1:20" ht="15.75" customHeight="1">
      <c r="A69" s="8" t="s">
        <v>63</v>
      </c>
      <c r="B69" s="8" t="s">
        <v>143</v>
      </c>
      <c r="C69" s="8" t="s">
        <v>61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8" t="str">
        <f t="shared" si="8"/>
        <v/>
      </c>
      <c r="O69" s="8">
        <f t="shared" si="9"/>
        <v>0</v>
      </c>
      <c r="P69" s="8">
        <f t="shared" si="10"/>
        <v>0</v>
      </c>
      <c r="Q69" s="8">
        <f t="shared" si="11"/>
        <v>0</v>
      </c>
      <c r="R69" s="8">
        <f t="shared" si="12"/>
        <v>0</v>
      </c>
      <c r="S69" s="14"/>
      <c r="T69" s="14"/>
    </row>
    <row r="70" spans="1:20" ht="15.75" customHeight="1">
      <c r="A70" s="8" t="s">
        <v>63</v>
      </c>
      <c r="B70" s="8" t="s">
        <v>155</v>
      </c>
      <c r="C70" s="8" t="s">
        <v>61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8" t="str">
        <f t="shared" si="8"/>
        <v/>
      </c>
      <c r="O70" s="8">
        <f t="shared" si="9"/>
        <v>0</v>
      </c>
      <c r="P70" s="8">
        <f t="shared" si="10"/>
        <v>0</v>
      </c>
      <c r="Q70" s="8">
        <f t="shared" si="11"/>
        <v>0</v>
      </c>
      <c r="R70" s="8">
        <f t="shared" si="12"/>
        <v>0</v>
      </c>
      <c r="S70" s="14"/>
      <c r="T70" s="14"/>
    </row>
    <row r="71" spans="1:20" ht="15.75" customHeight="1">
      <c r="A71" s="8" t="s">
        <v>63</v>
      </c>
      <c r="B71" s="8" t="s">
        <v>167</v>
      </c>
      <c r="C71" s="8" t="s">
        <v>61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8" t="str">
        <f t="shared" si="8"/>
        <v/>
      </c>
      <c r="O71" s="8">
        <f t="shared" si="9"/>
        <v>0</v>
      </c>
      <c r="P71" s="8">
        <f t="shared" si="10"/>
        <v>0</v>
      </c>
      <c r="Q71" s="8">
        <f t="shared" si="11"/>
        <v>0</v>
      </c>
      <c r="R71" s="8">
        <f t="shared" si="12"/>
        <v>0</v>
      </c>
      <c r="S71" s="14"/>
      <c r="T71" s="14"/>
    </row>
    <row r="72" spans="1:20" ht="15.75" customHeight="1">
      <c r="A72" s="8" t="s">
        <v>63</v>
      </c>
      <c r="B72" s="8" t="s">
        <v>353</v>
      </c>
      <c r="C72" s="8" t="s">
        <v>61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8" t="str">
        <f t="shared" si="8"/>
        <v/>
      </c>
      <c r="O72" s="8">
        <f t="shared" si="9"/>
        <v>0</v>
      </c>
      <c r="P72" s="8">
        <f t="shared" si="10"/>
        <v>0</v>
      </c>
      <c r="Q72" s="8">
        <f t="shared" si="11"/>
        <v>0</v>
      </c>
      <c r="R72" s="8">
        <f t="shared" si="12"/>
        <v>0</v>
      </c>
      <c r="S72" s="14"/>
      <c r="T72" s="14"/>
    </row>
    <row r="73" spans="1:20" ht="15.75" customHeight="1">
      <c r="A73" s="8" t="s">
        <v>63</v>
      </c>
      <c r="B73" s="8" t="s">
        <v>363</v>
      </c>
      <c r="C73" s="8" t="s">
        <v>61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8" t="str">
        <f t="shared" si="8"/>
        <v/>
      </c>
      <c r="O73" s="8">
        <f t="shared" si="9"/>
        <v>0</v>
      </c>
      <c r="P73" s="8">
        <f t="shared" si="10"/>
        <v>0</v>
      </c>
      <c r="Q73" s="8">
        <f t="shared" si="11"/>
        <v>0</v>
      </c>
      <c r="R73" s="8">
        <f t="shared" si="12"/>
        <v>0</v>
      </c>
      <c r="S73" s="14"/>
      <c r="T73" s="14"/>
    </row>
    <row r="74" spans="1:20" ht="15.75" customHeight="1"/>
    <row r="75" spans="1:20" ht="15.75" customHeight="1"/>
    <row r="76" spans="1:20" ht="15.75" customHeight="1"/>
    <row r="77" spans="1:20" ht="15.75" customHeight="1"/>
    <row r="78" spans="1:20" ht="15.75" customHeight="1"/>
    <row r="79" spans="1:20" ht="15.75" customHeight="1"/>
    <row r="80" spans="1:2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E10">
    <cfRule type="cellIs" dxfId="57" priority="1" operator="equal">
      <formula>"Y"</formula>
    </cfRule>
    <cfRule type="cellIs" dxfId="56" priority="2" operator="equal">
      <formula>"C"</formula>
    </cfRule>
    <cfRule type="cellIs" dxfId="55" priority="3" operator="equal">
      <formula>"W"</formula>
    </cfRule>
    <cfRule type="cellIs" dxfId="54" priority="4" operator="equal">
      <formula>"D"</formula>
    </cfRule>
  </conditionalFormatting>
  <conditionalFormatting sqref="N14:N73">
    <cfRule type="cellIs" dxfId="53" priority="5" operator="equal">
      <formula>"Y"</formula>
    </cfRule>
    <cfRule type="cellIs" dxfId="52" priority="6" operator="equal">
      <formula>"C"</formula>
    </cfRule>
    <cfRule type="cellIs" dxfId="51" priority="7" operator="equal">
      <formula>"W"</formula>
    </cfRule>
    <cfRule type="cellIs" dxfId="50" priority="8" operator="equal">
      <formula>"D"</formula>
    </cfRule>
  </conditionalFormatting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Settings!$G$12:$G$16</xm:f>
          </x14:formula1>
          <xm:sqref>S14:S73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:N5"/>
    </sheetView>
  </sheetViews>
  <sheetFormatPr defaultColWidth="14.42578125" defaultRowHeight="15" customHeight="1"/>
  <cols>
    <col min="1" max="1" width="7" customWidth="1"/>
    <col min="2" max="2" width="36" customWidth="1"/>
    <col min="3" max="3" width="50" customWidth="1"/>
    <col min="4" max="4" width="6" customWidth="1"/>
    <col min="5" max="5" width="8" customWidth="1"/>
    <col min="6" max="7" width="11" customWidth="1"/>
    <col min="8" max="8" width="9" customWidth="1"/>
    <col min="9" max="9" width="11" customWidth="1"/>
    <col min="10" max="10" width="7" customWidth="1"/>
    <col min="11" max="14" width="5" customWidth="1"/>
    <col min="15" max="16" width="11.5703125" customWidth="1"/>
    <col min="17" max="17" width="13" customWidth="1"/>
    <col min="18" max="18" width="37.28515625" customWidth="1"/>
    <col min="19" max="26" width="8.7109375" customWidth="1"/>
  </cols>
  <sheetData>
    <row r="1" spans="1:18" ht="18.75">
      <c r="A1" s="4" t="s">
        <v>6</v>
      </c>
    </row>
    <row r="2" spans="1:18">
      <c r="A2" s="47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18" ht="31.5" customHeight="1">
      <c r="A4" s="6" t="s">
        <v>18</v>
      </c>
      <c r="B4" s="6" t="s">
        <v>23</v>
      </c>
      <c r="C4" s="6" t="s">
        <v>26</v>
      </c>
      <c r="D4" s="6" t="s">
        <v>29</v>
      </c>
      <c r="E4" s="6" t="s">
        <v>31</v>
      </c>
      <c r="F4" s="6" t="s">
        <v>32</v>
      </c>
      <c r="G4" s="6" t="s">
        <v>33</v>
      </c>
      <c r="H4" s="6" t="s">
        <v>35</v>
      </c>
      <c r="I4" s="6" t="s">
        <v>36</v>
      </c>
      <c r="J4" s="6" t="s">
        <v>30</v>
      </c>
      <c r="K4" s="9" t="s">
        <v>38</v>
      </c>
      <c r="L4" s="10" t="s">
        <v>41</v>
      </c>
      <c r="M4" s="11" t="s">
        <v>44</v>
      </c>
      <c r="N4" s="12" t="s">
        <v>47</v>
      </c>
      <c r="O4" s="12" t="s">
        <v>50</v>
      </c>
      <c r="P4" s="12" t="s">
        <v>51</v>
      </c>
      <c r="Q4" s="12" t="s">
        <v>52</v>
      </c>
      <c r="R4" s="12" t="s">
        <v>53</v>
      </c>
    </row>
    <row r="5" spans="1:18">
      <c r="A5" s="13" t="s">
        <v>54</v>
      </c>
      <c r="B5" s="44" t="s">
        <v>55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</row>
    <row r="6" spans="1:18" ht="30">
      <c r="A6" s="16" t="s">
        <v>56</v>
      </c>
      <c r="B6" s="16" t="s">
        <v>57</v>
      </c>
      <c r="C6" s="16"/>
      <c r="D6" s="16"/>
      <c r="E6" s="16" t="s">
        <v>1718</v>
      </c>
      <c r="F6" s="16" t="s">
        <v>1718</v>
      </c>
      <c r="G6" s="16" t="s">
        <v>1718</v>
      </c>
      <c r="H6" s="17" t="str">
        <f>IF(COUNT(H7:H14)=0,"",SUM(H7:H14))</f>
        <v/>
      </c>
      <c r="I6" s="17" t="str">
        <f t="shared" ref="I6:I36" si="0">IF(H6="","",ROUND(H6/E6*100,2))</f>
        <v/>
      </c>
      <c r="J6" s="16" t="str">
        <f t="shared" ref="J6:J36" si="1">IF(I6="","",IF(I6&gt;YT*100,"Y",IF(I6&gt;=CT*100,"C",IF(I6&gt;=WT*100,"W","D"))))</f>
        <v/>
      </c>
      <c r="K6" s="16" t="e">
        <f t="shared" ref="K6:N6" si="2">SUM(K7:K14)</f>
        <v>#VALUE!</v>
      </c>
      <c r="L6" s="16" t="e">
        <f t="shared" si="2"/>
        <v>#VALUE!</v>
      </c>
      <c r="M6" s="16" t="e">
        <f t="shared" si="2"/>
        <v>#VALUE!</v>
      </c>
      <c r="N6" s="16" t="e">
        <f t="shared" si="2"/>
        <v>#VALUE!</v>
      </c>
      <c r="O6" s="17" t="str">
        <f t="shared" ref="O6:P6" si="3">IF(COUNT(O7:O14)=0,"",SUM(O7:O14))</f>
        <v/>
      </c>
      <c r="P6" s="17" t="str">
        <f t="shared" si="3"/>
        <v/>
      </c>
      <c r="Q6" s="17" t="str">
        <f t="shared" ref="Q6:Q36" si="4">IF(N(O6)=0,"",ROUND(N(P6)/O6*100,2))</f>
        <v/>
      </c>
      <c r="R6" s="16"/>
    </row>
    <row r="7" spans="1:18" ht="30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1718</v>
      </c>
      <c r="F7" s="22" t="s">
        <v>1718</v>
      </c>
      <c r="G7" s="22" t="s">
        <v>1718</v>
      </c>
      <c r="H7" s="25" t="e">
        <f t="shared" ref="H7:H14" si="5">IF(OR(G7="",F7="",F7=0),"",ROUND(E7*MIN(G7/F7,1),2))</f>
        <v>#VALUE!</v>
      </c>
      <c r="I7" s="25" t="e">
        <f t="shared" si="0"/>
        <v>#VALUE!</v>
      </c>
      <c r="J7" s="21" t="e">
        <f t="shared" si="1"/>
        <v>#VALUE!</v>
      </c>
      <c r="K7" s="21" t="e">
        <f t="shared" ref="K7:K14" si="6">IF($J7="Y",1,"")</f>
        <v>#VALUE!</v>
      </c>
      <c r="L7" s="21" t="e">
        <f t="shared" ref="L7:L14" si="7">IF($J7="C",1,"")</f>
        <v>#VALUE!</v>
      </c>
      <c r="M7" s="21" t="e">
        <f t="shared" ref="M7:M14" si="8">IF($J7="W",1,"")</f>
        <v>#VALUE!</v>
      </c>
      <c r="N7" s="21" t="e">
        <f t="shared" ref="N7:N14" si="9">IF($J7="D",1,"")</f>
        <v>#VALUE!</v>
      </c>
      <c r="O7" s="25" t="str">
        <f>IF('C1 Validation Rubrics'!M9="","",'C1 Validation Rubrics'!M9)</f>
        <v/>
      </c>
      <c r="P7" s="25" t="str">
        <f>IF('C1 Validation Rubrics'!N9="","",'C1 Validation Rubrics'!N9)</f>
        <v/>
      </c>
      <c r="Q7" s="25" t="str">
        <f t="shared" si="4"/>
        <v/>
      </c>
      <c r="R7" s="21" t="str">
        <f>IF('C1 Validation Rubrics'!O9="","",'C1 Validation Rubrics'!O9)</f>
        <v/>
      </c>
    </row>
    <row r="8" spans="1:18" ht="30">
      <c r="A8" s="21" t="s">
        <v>118</v>
      </c>
      <c r="B8" s="21" t="s">
        <v>120</v>
      </c>
      <c r="C8" s="21" t="s">
        <v>121</v>
      </c>
      <c r="D8" s="21" t="s">
        <v>101</v>
      </c>
      <c r="E8" s="21" t="s">
        <v>1718</v>
      </c>
      <c r="F8" s="22" t="s">
        <v>1718</v>
      </c>
      <c r="G8" s="22" t="s">
        <v>1718</v>
      </c>
      <c r="H8" s="25" t="e">
        <f t="shared" si="5"/>
        <v>#VALUE!</v>
      </c>
      <c r="I8" s="25" t="e">
        <f t="shared" si="0"/>
        <v>#VALUE!</v>
      </c>
      <c r="J8" s="21" t="e">
        <f t="shared" si="1"/>
        <v>#VALUE!</v>
      </c>
      <c r="K8" s="21" t="e">
        <f t="shared" si="6"/>
        <v>#VALUE!</v>
      </c>
      <c r="L8" s="21" t="e">
        <f t="shared" si="7"/>
        <v>#VALUE!</v>
      </c>
      <c r="M8" s="21" t="e">
        <f t="shared" si="8"/>
        <v>#VALUE!</v>
      </c>
      <c r="N8" s="21" t="e">
        <f t="shared" si="9"/>
        <v>#VALUE!</v>
      </c>
      <c r="O8" s="25" t="str">
        <f>IF('C1 Validation Rubrics'!M10="","",'C1 Validation Rubrics'!M10)</f>
        <v/>
      </c>
      <c r="P8" s="25" t="str">
        <f>IF('C1 Validation Rubrics'!N10="","",'C1 Validation Rubrics'!N10)</f>
        <v/>
      </c>
      <c r="Q8" s="25" t="str">
        <f t="shared" si="4"/>
        <v/>
      </c>
      <c r="R8" s="21" t="str">
        <f>IF('C1 Validation Rubrics'!O10="","",'C1 Validation Rubrics'!O10)</f>
        <v/>
      </c>
    </row>
    <row r="9" spans="1:18" ht="30">
      <c r="A9" s="21" t="s">
        <v>123</v>
      </c>
      <c r="B9" s="21" t="s">
        <v>124</v>
      </c>
      <c r="C9" s="21" t="s">
        <v>125</v>
      </c>
      <c r="D9" s="21" t="s">
        <v>101</v>
      </c>
      <c r="E9" s="21" t="s">
        <v>1718</v>
      </c>
      <c r="F9" s="22" t="s">
        <v>1718</v>
      </c>
      <c r="G9" s="22" t="s">
        <v>1718</v>
      </c>
      <c r="H9" s="25" t="e">
        <f t="shared" si="5"/>
        <v>#VALUE!</v>
      </c>
      <c r="I9" s="25" t="e">
        <f t="shared" si="0"/>
        <v>#VALUE!</v>
      </c>
      <c r="J9" s="21" t="e">
        <f t="shared" si="1"/>
        <v>#VALUE!</v>
      </c>
      <c r="K9" s="21" t="e">
        <f t="shared" si="6"/>
        <v>#VALUE!</v>
      </c>
      <c r="L9" s="21" t="e">
        <f t="shared" si="7"/>
        <v>#VALUE!</v>
      </c>
      <c r="M9" s="21" t="e">
        <f t="shared" si="8"/>
        <v>#VALUE!</v>
      </c>
      <c r="N9" s="21" t="e">
        <f t="shared" si="9"/>
        <v>#VALUE!</v>
      </c>
      <c r="O9" s="25" t="str">
        <f>IF('C1 Validation Rubrics'!M11="","",'C1 Validation Rubrics'!M11)</f>
        <v/>
      </c>
      <c r="P9" s="25" t="str">
        <f>IF('C1 Validation Rubrics'!N11="","",'C1 Validation Rubrics'!N11)</f>
        <v/>
      </c>
      <c r="Q9" s="25" t="str">
        <f t="shared" si="4"/>
        <v/>
      </c>
      <c r="R9" s="21" t="str">
        <f>IF('C1 Validation Rubrics'!O11="","",'C1 Validation Rubrics'!O11)</f>
        <v/>
      </c>
    </row>
    <row r="10" spans="1:18" ht="30">
      <c r="A10" s="21" t="s">
        <v>144</v>
      </c>
      <c r="B10" s="21" t="s">
        <v>145</v>
      </c>
      <c r="C10" s="21" t="s">
        <v>146</v>
      </c>
      <c r="D10" s="21" t="s">
        <v>101</v>
      </c>
      <c r="E10" s="21" t="s">
        <v>1718</v>
      </c>
      <c r="F10" s="22" t="s">
        <v>1718</v>
      </c>
      <c r="G10" s="22" t="s">
        <v>1718</v>
      </c>
      <c r="H10" s="25" t="e">
        <f t="shared" si="5"/>
        <v>#VALUE!</v>
      </c>
      <c r="I10" s="25" t="e">
        <f t="shared" si="0"/>
        <v>#VALUE!</v>
      </c>
      <c r="J10" s="21" t="e">
        <f t="shared" si="1"/>
        <v>#VALUE!</v>
      </c>
      <c r="K10" s="21" t="e">
        <f t="shared" si="6"/>
        <v>#VALUE!</v>
      </c>
      <c r="L10" s="21" t="e">
        <f t="shared" si="7"/>
        <v>#VALUE!</v>
      </c>
      <c r="M10" s="21" t="e">
        <f t="shared" si="8"/>
        <v>#VALUE!</v>
      </c>
      <c r="N10" s="21" t="e">
        <f t="shared" si="9"/>
        <v>#VALUE!</v>
      </c>
      <c r="O10" s="25" t="str">
        <f>IF('C1 Validation Rubrics'!M12="","",'C1 Validation Rubrics'!M12)</f>
        <v/>
      </c>
      <c r="P10" s="25" t="str">
        <f>IF('C1 Validation Rubrics'!N12="","",'C1 Validation Rubrics'!N12)</f>
        <v/>
      </c>
      <c r="Q10" s="25" t="str">
        <f t="shared" si="4"/>
        <v/>
      </c>
      <c r="R10" s="21" t="str">
        <f>IF('C1 Validation Rubrics'!O12="","",'C1 Validation Rubrics'!O12)</f>
        <v/>
      </c>
    </row>
    <row r="11" spans="1:18" ht="30">
      <c r="A11" s="21" t="s">
        <v>156</v>
      </c>
      <c r="B11" s="21" t="s">
        <v>157</v>
      </c>
      <c r="C11" s="21" t="s">
        <v>166</v>
      </c>
      <c r="D11" s="21" t="s">
        <v>101</v>
      </c>
      <c r="E11" s="21" t="s">
        <v>1718</v>
      </c>
      <c r="F11" s="22" t="s">
        <v>1718</v>
      </c>
      <c r="G11" s="22" t="s">
        <v>1718</v>
      </c>
      <c r="H11" s="25" t="e">
        <f t="shared" si="5"/>
        <v>#VALUE!</v>
      </c>
      <c r="I11" s="25" t="e">
        <f t="shared" si="0"/>
        <v>#VALUE!</v>
      </c>
      <c r="J11" s="21" t="e">
        <f t="shared" si="1"/>
        <v>#VALUE!</v>
      </c>
      <c r="K11" s="21" t="e">
        <f t="shared" si="6"/>
        <v>#VALUE!</v>
      </c>
      <c r="L11" s="21" t="e">
        <f t="shared" si="7"/>
        <v>#VALUE!</v>
      </c>
      <c r="M11" s="21" t="e">
        <f t="shared" si="8"/>
        <v>#VALUE!</v>
      </c>
      <c r="N11" s="21" t="e">
        <f t="shared" si="9"/>
        <v>#VALUE!</v>
      </c>
      <c r="O11" s="25" t="str">
        <f>IF('C1 Validation Rubrics'!M13="","",'C1 Validation Rubrics'!M13)</f>
        <v/>
      </c>
      <c r="P11" s="25" t="str">
        <f>IF('C1 Validation Rubrics'!N13="","",'C1 Validation Rubrics'!N13)</f>
        <v/>
      </c>
      <c r="Q11" s="25" t="str">
        <f t="shared" si="4"/>
        <v/>
      </c>
      <c r="R11" s="21" t="str">
        <f>IF('C1 Validation Rubrics'!O13="","",'C1 Validation Rubrics'!O13)</f>
        <v/>
      </c>
    </row>
    <row r="12" spans="1:18" ht="30">
      <c r="A12" s="21" t="s">
        <v>168</v>
      </c>
      <c r="B12" s="21" t="s">
        <v>169</v>
      </c>
      <c r="C12" s="21" t="s">
        <v>188</v>
      </c>
      <c r="D12" s="21" t="s">
        <v>101</v>
      </c>
      <c r="E12" s="21" t="s">
        <v>1718</v>
      </c>
      <c r="F12" s="22" t="s">
        <v>1718</v>
      </c>
      <c r="G12" s="22" t="s">
        <v>1718</v>
      </c>
      <c r="H12" s="25" t="e">
        <f t="shared" si="5"/>
        <v>#VALUE!</v>
      </c>
      <c r="I12" s="25" t="e">
        <f t="shared" si="0"/>
        <v>#VALUE!</v>
      </c>
      <c r="J12" s="21" t="e">
        <f t="shared" si="1"/>
        <v>#VALUE!</v>
      </c>
      <c r="K12" s="21" t="e">
        <f t="shared" si="6"/>
        <v>#VALUE!</v>
      </c>
      <c r="L12" s="21" t="e">
        <f t="shared" si="7"/>
        <v>#VALUE!</v>
      </c>
      <c r="M12" s="21" t="e">
        <f t="shared" si="8"/>
        <v>#VALUE!</v>
      </c>
      <c r="N12" s="21" t="e">
        <f t="shared" si="9"/>
        <v>#VALUE!</v>
      </c>
      <c r="O12" s="25" t="str">
        <f>IF('C1 Validation Rubrics'!M14="","",'C1 Validation Rubrics'!M14)</f>
        <v/>
      </c>
      <c r="P12" s="25" t="str">
        <f>IF('C1 Validation Rubrics'!N14="","",'C1 Validation Rubrics'!N14)</f>
        <v/>
      </c>
      <c r="Q12" s="25" t="str">
        <f t="shared" si="4"/>
        <v/>
      </c>
      <c r="R12" s="21" t="str">
        <f>IF('C1 Validation Rubrics'!O14="","",'C1 Validation Rubrics'!O14)</f>
        <v/>
      </c>
    </row>
    <row r="13" spans="1:18" ht="30">
      <c r="A13" s="21" t="s">
        <v>178</v>
      </c>
      <c r="B13" s="21" t="s">
        <v>179</v>
      </c>
      <c r="C13" s="21" t="s">
        <v>199</v>
      </c>
      <c r="D13" s="21" t="s">
        <v>101</v>
      </c>
      <c r="E13" s="21" t="s">
        <v>1718</v>
      </c>
      <c r="F13" s="22" t="s">
        <v>1718</v>
      </c>
      <c r="G13" s="22" t="s">
        <v>1718</v>
      </c>
      <c r="H13" s="25" t="e">
        <f t="shared" si="5"/>
        <v>#VALUE!</v>
      </c>
      <c r="I13" s="25" t="e">
        <f t="shared" si="0"/>
        <v>#VALUE!</v>
      </c>
      <c r="J13" s="21" t="e">
        <f t="shared" si="1"/>
        <v>#VALUE!</v>
      </c>
      <c r="K13" s="21" t="e">
        <f t="shared" si="6"/>
        <v>#VALUE!</v>
      </c>
      <c r="L13" s="21" t="e">
        <f t="shared" si="7"/>
        <v>#VALUE!</v>
      </c>
      <c r="M13" s="21" t="e">
        <f t="shared" si="8"/>
        <v>#VALUE!</v>
      </c>
      <c r="N13" s="21" t="e">
        <f t="shared" si="9"/>
        <v>#VALUE!</v>
      </c>
      <c r="O13" s="25" t="str">
        <f>IF('C1 Validation Rubrics'!M15="","",'C1 Validation Rubrics'!M15)</f>
        <v/>
      </c>
      <c r="P13" s="25" t="str">
        <f>IF('C1 Validation Rubrics'!N15="","",'C1 Validation Rubrics'!N15)</f>
        <v/>
      </c>
      <c r="Q13" s="25" t="str">
        <f t="shared" si="4"/>
        <v/>
      </c>
      <c r="R13" s="21" t="str">
        <f>IF('C1 Validation Rubrics'!O15="","",'C1 Validation Rubrics'!O15)</f>
        <v/>
      </c>
    </row>
    <row r="14" spans="1:18" ht="30">
      <c r="A14" s="21" t="s">
        <v>189</v>
      </c>
      <c r="B14" s="21" t="s">
        <v>190</v>
      </c>
      <c r="C14" s="21" t="s">
        <v>209</v>
      </c>
      <c r="D14" s="21" t="s">
        <v>101</v>
      </c>
      <c r="E14" s="21" t="s">
        <v>1718</v>
      </c>
      <c r="F14" s="22" t="s">
        <v>1718</v>
      </c>
      <c r="G14" s="22" t="s">
        <v>1718</v>
      </c>
      <c r="H14" s="25" t="e">
        <f t="shared" si="5"/>
        <v>#VALUE!</v>
      </c>
      <c r="I14" s="25" t="e">
        <f t="shared" si="0"/>
        <v>#VALUE!</v>
      </c>
      <c r="J14" s="21" t="e">
        <f t="shared" si="1"/>
        <v>#VALUE!</v>
      </c>
      <c r="K14" s="21" t="e">
        <f t="shared" si="6"/>
        <v>#VALUE!</v>
      </c>
      <c r="L14" s="21" t="e">
        <f t="shared" si="7"/>
        <v>#VALUE!</v>
      </c>
      <c r="M14" s="21" t="e">
        <f t="shared" si="8"/>
        <v>#VALUE!</v>
      </c>
      <c r="N14" s="21" t="e">
        <f t="shared" si="9"/>
        <v>#VALUE!</v>
      </c>
      <c r="O14" s="25" t="str">
        <f>IF('C1 Validation Rubrics'!M16="","",'C1 Validation Rubrics'!M16)</f>
        <v/>
      </c>
      <c r="P14" s="25" t="str">
        <f>IF('C1 Validation Rubrics'!N16="","",'C1 Validation Rubrics'!N16)</f>
        <v/>
      </c>
      <c r="Q14" s="25" t="str">
        <f t="shared" si="4"/>
        <v/>
      </c>
      <c r="R14" s="21" t="str">
        <f>IF('C1 Validation Rubrics'!O16="","",'C1 Validation Rubrics'!O16)</f>
        <v/>
      </c>
    </row>
    <row r="15" spans="1:18" ht="30">
      <c r="A15" s="16" t="s">
        <v>211</v>
      </c>
      <c r="B15" s="16" t="s">
        <v>198</v>
      </c>
      <c r="C15" s="16"/>
      <c r="D15" s="16"/>
      <c r="E15" s="16" t="s">
        <v>1718</v>
      </c>
      <c r="F15" s="16" t="s">
        <v>1718</v>
      </c>
      <c r="G15" s="16" t="s">
        <v>1718</v>
      </c>
      <c r="H15" s="17" t="str">
        <f>IF(COUNT(H16:H22)=0,"",SUM(H16:H22))</f>
        <v/>
      </c>
      <c r="I15" s="17" t="str">
        <f t="shared" si="0"/>
        <v/>
      </c>
      <c r="J15" s="16" t="str">
        <f t="shared" si="1"/>
        <v/>
      </c>
      <c r="K15" s="16" t="e">
        <f t="shared" ref="K15:N15" si="10">SUM(K16:K22)</f>
        <v>#VALUE!</v>
      </c>
      <c r="L15" s="16" t="e">
        <f t="shared" si="10"/>
        <v>#VALUE!</v>
      </c>
      <c r="M15" s="16" t="e">
        <f t="shared" si="10"/>
        <v>#VALUE!</v>
      </c>
      <c r="N15" s="16" t="e">
        <f t="shared" si="10"/>
        <v>#VALUE!</v>
      </c>
      <c r="O15" s="17" t="str">
        <f t="shared" ref="O15:P15" si="11">IF(COUNT(O16:O22)=0,"",SUM(O16:O22))</f>
        <v/>
      </c>
      <c r="P15" s="17" t="str">
        <f t="shared" si="11"/>
        <v/>
      </c>
      <c r="Q15" s="17" t="str">
        <f t="shared" si="4"/>
        <v/>
      </c>
      <c r="R15" s="16"/>
    </row>
    <row r="16" spans="1:18" ht="30">
      <c r="A16" s="21" t="s">
        <v>200</v>
      </c>
      <c r="B16" s="21" t="s">
        <v>201</v>
      </c>
      <c r="C16" s="21" t="s">
        <v>234</v>
      </c>
      <c r="D16" s="21" t="s">
        <v>101</v>
      </c>
      <c r="E16" s="21" t="s">
        <v>1718</v>
      </c>
      <c r="F16" s="22" t="s">
        <v>1718</v>
      </c>
      <c r="G16" s="22" t="s">
        <v>1718</v>
      </c>
      <c r="H16" s="25" t="e">
        <f t="shared" ref="H16:H22" si="12">IF(OR(G16="",F16="",F16=0),"",ROUND(E16*MIN(G16/F16,1),2))</f>
        <v>#VALUE!</v>
      </c>
      <c r="I16" s="25" t="e">
        <f t="shared" si="0"/>
        <v>#VALUE!</v>
      </c>
      <c r="J16" s="21" t="e">
        <f t="shared" si="1"/>
        <v>#VALUE!</v>
      </c>
      <c r="K16" s="21" t="e">
        <f t="shared" ref="K16:K22" si="13">IF($J16="Y",1,"")</f>
        <v>#VALUE!</v>
      </c>
      <c r="L16" s="21" t="e">
        <f t="shared" ref="L16:L22" si="14">IF($J16="C",1,"")</f>
        <v>#VALUE!</v>
      </c>
      <c r="M16" s="21" t="e">
        <f t="shared" ref="M16:M22" si="15">IF($J16="W",1,"")</f>
        <v>#VALUE!</v>
      </c>
      <c r="N16" s="21" t="e">
        <f t="shared" ref="N16:N22" si="16">IF($J16="D",1,"")</f>
        <v>#VALUE!</v>
      </c>
      <c r="O16" s="25" t="str">
        <f>IF('C1 Validation Rubrics'!M18="","",'C1 Validation Rubrics'!M18)</f>
        <v/>
      </c>
      <c r="P16" s="25" t="str">
        <f>IF('C1 Validation Rubrics'!N18="","",'C1 Validation Rubrics'!N18)</f>
        <v/>
      </c>
      <c r="Q16" s="25" t="str">
        <f t="shared" si="4"/>
        <v/>
      </c>
      <c r="R16" s="21" t="str">
        <f>IF('C1 Validation Rubrics'!O18="","",'C1 Validation Rubrics'!O18)</f>
        <v/>
      </c>
    </row>
    <row r="17" spans="1:18" ht="30">
      <c r="A17" s="21" t="s">
        <v>212</v>
      </c>
      <c r="B17" s="21" t="s">
        <v>213</v>
      </c>
      <c r="C17" s="21" t="s">
        <v>273</v>
      </c>
      <c r="D17" s="21" t="s">
        <v>101</v>
      </c>
      <c r="E17" s="21" t="s">
        <v>1718</v>
      </c>
      <c r="F17" s="22" t="s">
        <v>1718</v>
      </c>
      <c r="G17" s="22" t="s">
        <v>1718</v>
      </c>
      <c r="H17" s="25" t="e">
        <f t="shared" si="12"/>
        <v>#VALUE!</v>
      </c>
      <c r="I17" s="25" t="e">
        <f t="shared" si="0"/>
        <v>#VALUE!</v>
      </c>
      <c r="J17" s="21" t="e">
        <f t="shared" si="1"/>
        <v>#VALUE!</v>
      </c>
      <c r="K17" s="21" t="e">
        <f t="shared" si="13"/>
        <v>#VALUE!</v>
      </c>
      <c r="L17" s="21" t="e">
        <f t="shared" si="14"/>
        <v>#VALUE!</v>
      </c>
      <c r="M17" s="21" t="e">
        <f t="shared" si="15"/>
        <v>#VALUE!</v>
      </c>
      <c r="N17" s="21" t="e">
        <f t="shared" si="16"/>
        <v>#VALUE!</v>
      </c>
      <c r="O17" s="25" t="str">
        <f>IF('C1 Validation Rubrics'!M19="","",'C1 Validation Rubrics'!M19)</f>
        <v/>
      </c>
      <c r="P17" s="25" t="str">
        <f>IF('C1 Validation Rubrics'!N19="","",'C1 Validation Rubrics'!N19)</f>
        <v/>
      </c>
      <c r="Q17" s="25" t="str">
        <f t="shared" si="4"/>
        <v/>
      </c>
      <c r="R17" s="21" t="str">
        <f>IF('C1 Validation Rubrics'!O19="","",'C1 Validation Rubrics'!O19)</f>
        <v/>
      </c>
    </row>
    <row r="18" spans="1:18" ht="30">
      <c r="A18" s="21" t="s">
        <v>222</v>
      </c>
      <c r="B18" s="21" t="s">
        <v>223</v>
      </c>
      <c r="C18" s="21" t="s">
        <v>285</v>
      </c>
      <c r="D18" s="21" t="s">
        <v>101</v>
      </c>
      <c r="E18" s="21" t="s">
        <v>1718</v>
      </c>
      <c r="F18" s="22" t="s">
        <v>1718</v>
      </c>
      <c r="G18" s="22" t="s">
        <v>1718</v>
      </c>
      <c r="H18" s="25" t="e">
        <f t="shared" si="12"/>
        <v>#VALUE!</v>
      </c>
      <c r="I18" s="25" t="e">
        <f t="shared" si="0"/>
        <v>#VALUE!</v>
      </c>
      <c r="J18" s="21" t="e">
        <f t="shared" si="1"/>
        <v>#VALUE!</v>
      </c>
      <c r="K18" s="21" t="e">
        <f t="shared" si="13"/>
        <v>#VALUE!</v>
      </c>
      <c r="L18" s="21" t="e">
        <f t="shared" si="14"/>
        <v>#VALUE!</v>
      </c>
      <c r="M18" s="21" t="e">
        <f t="shared" si="15"/>
        <v>#VALUE!</v>
      </c>
      <c r="N18" s="21" t="e">
        <f t="shared" si="16"/>
        <v>#VALUE!</v>
      </c>
      <c r="O18" s="25" t="str">
        <f>IF('C1 Validation Rubrics'!M20="","",'C1 Validation Rubrics'!M20)</f>
        <v/>
      </c>
      <c r="P18" s="25" t="str">
        <f>IF('C1 Validation Rubrics'!N20="","",'C1 Validation Rubrics'!N20)</f>
        <v/>
      </c>
      <c r="Q18" s="25" t="str">
        <f t="shared" si="4"/>
        <v/>
      </c>
      <c r="R18" s="21" t="str">
        <f>IF('C1 Validation Rubrics'!O20="","",'C1 Validation Rubrics'!O20)</f>
        <v/>
      </c>
    </row>
    <row r="19" spans="1:18" ht="30">
      <c r="A19" s="21" t="s">
        <v>232</v>
      </c>
      <c r="B19" s="21" t="s">
        <v>233</v>
      </c>
      <c r="C19" s="21" t="s">
        <v>288</v>
      </c>
      <c r="D19" s="21" t="s">
        <v>101</v>
      </c>
      <c r="E19" s="21" t="s">
        <v>1718</v>
      </c>
      <c r="F19" s="22" t="s">
        <v>1718</v>
      </c>
      <c r="G19" s="22" t="s">
        <v>1718</v>
      </c>
      <c r="H19" s="25" t="e">
        <f t="shared" si="12"/>
        <v>#VALUE!</v>
      </c>
      <c r="I19" s="25" t="e">
        <f t="shared" si="0"/>
        <v>#VALUE!</v>
      </c>
      <c r="J19" s="21" t="e">
        <f t="shared" si="1"/>
        <v>#VALUE!</v>
      </c>
      <c r="K19" s="21" t="e">
        <f t="shared" si="13"/>
        <v>#VALUE!</v>
      </c>
      <c r="L19" s="21" t="e">
        <f t="shared" si="14"/>
        <v>#VALUE!</v>
      </c>
      <c r="M19" s="21" t="e">
        <f t="shared" si="15"/>
        <v>#VALUE!</v>
      </c>
      <c r="N19" s="21" t="e">
        <f t="shared" si="16"/>
        <v>#VALUE!</v>
      </c>
      <c r="O19" s="25" t="str">
        <f>IF('C1 Validation Rubrics'!M21="","",'C1 Validation Rubrics'!M21)</f>
        <v/>
      </c>
      <c r="P19" s="25" t="str">
        <f>IF('C1 Validation Rubrics'!N21="","",'C1 Validation Rubrics'!N21)</f>
        <v/>
      </c>
      <c r="Q19" s="25" t="str">
        <f t="shared" si="4"/>
        <v/>
      </c>
      <c r="R19" s="21" t="str">
        <f>IF('C1 Validation Rubrics'!O21="","",'C1 Validation Rubrics'!O21)</f>
        <v/>
      </c>
    </row>
    <row r="20" spans="1:18" ht="30">
      <c r="A20" s="21" t="s">
        <v>243</v>
      </c>
      <c r="B20" s="21" t="s">
        <v>244</v>
      </c>
      <c r="C20" s="21" t="s">
        <v>306</v>
      </c>
      <c r="D20" s="21" t="s">
        <v>101</v>
      </c>
      <c r="E20" s="21" t="s">
        <v>1718</v>
      </c>
      <c r="F20" s="22" t="s">
        <v>1718</v>
      </c>
      <c r="G20" s="22" t="s">
        <v>1718</v>
      </c>
      <c r="H20" s="25" t="e">
        <f t="shared" si="12"/>
        <v>#VALUE!</v>
      </c>
      <c r="I20" s="25" t="e">
        <f t="shared" si="0"/>
        <v>#VALUE!</v>
      </c>
      <c r="J20" s="21" t="e">
        <f t="shared" si="1"/>
        <v>#VALUE!</v>
      </c>
      <c r="K20" s="21" t="e">
        <f t="shared" si="13"/>
        <v>#VALUE!</v>
      </c>
      <c r="L20" s="21" t="e">
        <f t="shared" si="14"/>
        <v>#VALUE!</v>
      </c>
      <c r="M20" s="21" t="e">
        <f t="shared" si="15"/>
        <v>#VALUE!</v>
      </c>
      <c r="N20" s="21" t="e">
        <f t="shared" si="16"/>
        <v>#VALUE!</v>
      </c>
      <c r="O20" s="25" t="str">
        <f>IF('C1 Validation Rubrics'!M22="","",'C1 Validation Rubrics'!M22)</f>
        <v/>
      </c>
      <c r="P20" s="25" t="str">
        <f>IF('C1 Validation Rubrics'!N22="","",'C1 Validation Rubrics'!N22)</f>
        <v/>
      </c>
      <c r="Q20" s="25" t="str">
        <f t="shared" si="4"/>
        <v/>
      </c>
      <c r="R20" s="21" t="str">
        <f>IF('C1 Validation Rubrics'!O22="","",'C1 Validation Rubrics'!O22)</f>
        <v/>
      </c>
    </row>
    <row r="21" spans="1:18" ht="15.75" customHeight="1">
      <c r="A21" s="21" t="s">
        <v>253</v>
      </c>
      <c r="B21" s="21" t="s">
        <v>254</v>
      </c>
      <c r="C21" s="21" t="s">
        <v>316</v>
      </c>
      <c r="D21" s="21" t="s">
        <v>263</v>
      </c>
      <c r="E21" s="21" t="s">
        <v>1718</v>
      </c>
      <c r="F21" s="22" t="s">
        <v>1718</v>
      </c>
      <c r="G21" s="22" t="s">
        <v>1718</v>
      </c>
      <c r="H21" s="25" t="e">
        <f t="shared" si="12"/>
        <v>#VALUE!</v>
      </c>
      <c r="I21" s="25" t="e">
        <f t="shared" si="0"/>
        <v>#VALUE!</v>
      </c>
      <c r="J21" s="21" t="e">
        <f t="shared" si="1"/>
        <v>#VALUE!</v>
      </c>
      <c r="K21" s="21" t="e">
        <f t="shared" si="13"/>
        <v>#VALUE!</v>
      </c>
      <c r="L21" s="21" t="e">
        <f t="shared" si="14"/>
        <v>#VALUE!</v>
      </c>
      <c r="M21" s="21" t="e">
        <f t="shared" si="15"/>
        <v>#VALUE!</v>
      </c>
      <c r="N21" s="21" t="e">
        <f t="shared" si="16"/>
        <v>#VALUE!</v>
      </c>
      <c r="O21" s="25" t="str">
        <f>IF('C1 Validation Rubrics'!M23="","",'C1 Validation Rubrics'!M23)</f>
        <v/>
      </c>
      <c r="P21" s="25" t="str">
        <f>IF('C1 Validation Rubrics'!N23="","",'C1 Validation Rubrics'!N23)</f>
        <v/>
      </c>
      <c r="Q21" s="25" t="str">
        <f t="shared" si="4"/>
        <v/>
      </c>
      <c r="R21" s="21" t="str">
        <f>IF('C1 Validation Rubrics'!O23="","",'C1 Validation Rubrics'!O23)</f>
        <v/>
      </c>
    </row>
    <row r="22" spans="1:18" ht="15.75" customHeight="1">
      <c r="A22" s="21" t="s">
        <v>264</v>
      </c>
      <c r="B22" s="21" t="s">
        <v>265</v>
      </c>
      <c r="C22" s="21" t="s">
        <v>317</v>
      </c>
      <c r="D22" s="21" t="s">
        <v>101</v>
      </c>
      <c r="E22" s="21" t="s">
        <v>1718</v>
      </c>
      <c r="F22" s="22" t="s">
        <v>1718</v>
      </c>
      <c r="G22" s="22" t="s">
        <v>1718</v>
      </c>
      <c r="H22" s="25" t="e">
        <f t="shared" si="12"/>
        <v>#VALUE!</v>
      </c>
      <c r="I22" s="25" t="e">
        <f t="shared" si="0"/>
        <v>#VALUE!</v>
      </c>
      <c r="J22" s="21" t="e">
        <f t="shared" si="1"/>
        <v>#VALUE!</v>
      </c>
      <c r="K22" s="21" t="e">
        <f t="shared" si="13"/>
        <v>#VALUE!</v>
      </c>
      <c r="L22" s="21" t="e">
        <f t="shared" si="14"/>
        <v>#VALUE!</v>
      </c>
      <c r="M22" s="21" t="e">
        <f t="shared" si="15"/>
        <v>#VALUE!</v>
      </c>
      <c r="N22" s="21" t="e">
        <f t="shared" si="16"/>
        <v>#VALUE!</v>
      </c>
      <c r="O22" s="25" t="str">
        <f>IF('C1 Validation Rubrics'!M24="","",'C1 Validation Rubrics'!M24)</f>
        <v/>
      </c>
      <c r="P22" s="25" t="str">
        <f>IF('C1 Validation Rubrics'!N24="","",'C1 Validation Rubrics'!N24)</f>
        <v/>
      </c>
      <c r="Q22" s="25" t="str">
        <f t="shared" si="4"/>
        <v/>
      </c>
      <c r="R22" s="21" t="str">
        <f>IF('C1 Validation Rubrics'!O24="","",'C1 Validation Rubrics'!O24)</f>
        <v/>
      </c>
    </row>
    <row r="23" spans="1:18" ht="15.75" customHeight="1">
      <c r="A23" s="16" t="s">
        <v>334</v>
      </c>
      <c r="B23" s="16" t="s">
        <v>274</v>
      </c>
      <c r="C23" s="16"/>
      <c r="D23" s="16"/>
      <c r="E23" s="16" t="s">
        <v>1718</v>
      </c>
      <c r="F23" s="16" t="s">
        <v>1718</v>
      </c>
      <c r="G23" s="16" t="s">
        <v>1718</v>
      </c>
      <c r="H23" s="17" t="str">
        <f>IF(COUNT(H24:H26)=0,"",SUM(H24:H26))</f>
        <v/>
      </c>
      <c r="I23" s="17" t="str">
        <f t="shared" si="0"/>
        <v/>
      </c>
      <c r="J23" s="16" t="str">
        <f t="shared" si="1"/>
        <v/>
      </c>
      <c r="K23" s="16" t="e">
        <f t="shared" ref="K23:N23" si="17">SUM(K24:K26)</f>
        <v>#VALUE!</v>
      </c>
      <c r="L23" s="16" t="e">
        <f t="shared" si="17"/>
        <v>#VALUE!</v>
      </c>
      <c r="M23" s="16" t="e">
        <f t="shared" si="17"/>
        <v>#VALUE!</v>
      </c>
      <c r="N23" s="16" t="e">
        <f t="shared" si="17"/>
        <v>#VALUE!</v>
      </c>
      <c r="O23" s="17" t="str">
        <f t="shared" ref="O23:P23" si="18">IF(COUNT(O24:O26)=0,"",SUM(O24:O26))</f>
        <v/>
      </c>
      <c r="P23" s="17" t="str">
        <f t="shared" si="18"/>
        <v/>
      </c>
      <c r="Q23" s="17" t="str">
        <f t="shared" si="4"/>
        <v/>
      </c>
      <c r="R23" s="16"/>
    </row>
    <row r="24" spans="1:18" ht="15.75" customHeight="1">
      <c r="A24" s="21" t="s">
        <v>275</v>
      </c>
      <c r="B24" s="21" t="s">
        <v>276</v>
      </c>
      <c r="C24" s="21" t="s">
        <v>351</v>
      </c>
      <c r="D24" s="21" t="s">
        <v>101</v>
      </c>
      <c r="E24" s="21" t="s">
        <v>1718</v>
      </c>
      <c r="F24" s="22" t="s">
        <v>1718</v>
      </c>
      <c r="G24" s="22" t="s">
        <v>1718</v>
      </c>
      <c r="H24" s="25" t="e">
        <f t="shared" ref="H24:H26" si="19">IF(OR(G24="",F24="",F24=0),"",ROUND(E24*MIN(G24/F24,1),2))</f>
        <v>#VALUE!</v>
      </c>
      <c r="I24" s="25" t="e">
        <f t="shared" si="0"/>
        <v>#VALUE!</v>
      </c>
      <c r="J24" s="21" t="e">
        <f t="shared" si="1"/>
        <v>#VALUE!</v>
      </c>
      <c r="K24" s="21" t="e">
        <f t="shared" ref="K24:K26" si="20">IF($J24="Y",1,"")</f>
        <v>#VALUE!</v>
      </c>
      <c r="L24" s="21" t="e">
        <f t="shared" ref="L24:L26" si="21">IF($J24="C",1,"")</f>
        <v>#VALUE!</v>
      </c>
      <c r="M24" s="21" t="e">
        <f t="shared" ref="M24:M26" si="22">IF($J24="W",1,"")</f>
        <v>#VALUE!</v>
      </c>
      <c r="N24" s="21" t="e">
        <f t="shared" ref="N24:N26" si="23">IF($J24="D",1,"")</f>
        <v>#VALUE!</v>
      </c>
      <c r="O24" s="25" t="str">
        <f>IF('C1 Validation Rubrics'!M26="","",'C1 Validation Rubrics'!M26)</f>
        <v/>
      </c>
      <c r="P24" s="25" t="str">
        <f>IF('C1 Validation Rubrics'!N26="","",'C1 Validation Rubrics'!N26)</f>
        <v/>
      </c>
      <c r="Q24" s="25" t="str">
        <f t="shared" si="4"/>
        <v/>
      </c>
      <c r="R24" s="21" t="str">
        <f>IF('C1 Validation Rubrics'!O26="","",'C1 Validation Rubrics'!O26)</f>
        <v/>
      </c>
    </row>
    <row r="25" spans="1:18" ht="15.75" customHeight="1">
      <c r="A25" s="21" t="s">
        <v>286</v>
      </c>
      <c r="B25" s="21" t="s">
        <v>287</v>
      </c>
      <c r="C25" s="21" t="s">
        <v>364</v>
      </c>
      <c r="D25" s="21" t="s">
        <v>101</v>
      </c>
      <c r="E25" s="21" t="s">
        <v>1718</v>
      </c>
      <c r="F25" s="22" t="s">
        <v>1718</v>
      </c>
      <c r="G25" s="22" t="s">
        <v>1718</v>
      </c>
      <c r="H25" s="25" t="e">
        <f t="shared" si="19"/>
        <v>#VALUE!</v>
      </c>
      <c r="I25" s="25" t="e">
        <f t="shared" si="0"/>
        <v>#VALUE!</v>
      </c>
      <c r="J25" s="21" t="e">
        <f t="shared" si="1"/>
        <v>#VALUE!</v>
      </c>
      <c r="K25" s="21" t="e">
        <f t="shared" si="20"/>
        <v>#VALUE!</v>
      </c>
      <c r="L25" s="21" t="e">
        <f t="shared" si="21"/>
        <v>#VALUE!</v>
      </c>
      <c r="M25" s="21" t="e">
        <f t="shared" si="22"/>
        <v>#VALUE!</v>
      </c>
      <c r="N25" s="21" t="e">
        <f t="shared" si="23"/>
        <v>#VALUE!</v>
      </c>
      <c r="O25" s="25" t="str">
        <f>IF('C1 Validation Rubrics'!M27="","",'C1 Validation Rubrics'!M27)</f>
        <v/>
      </c>
      <c r="P25" s="25" t="str">
        <f>IF('C1 Validation Rubrics'!N27="","",'C1 Validation Rubrics'!N27)</f>
        <v/>
      </c>
      <c r="Q25" s="25" t="str">
        <f t="shared" si="4"/>
        <v/>
      </c>
      <c r="R25" s="21" t="str">
        <f>IF('C1 Validation Rubrics'!O27="","",'C1 Validation Rubrics'!O27)</f>
        <v/>
      </c>
    </row>
    <row r="26" spans="1:18" ht="15.75" customHeight="1">
      <c r="A26" s="21" t="s">
        <v>296</v>
      </c>
      <c r="B26" s="21" t="s">
        <v>297</v>
      </c>
      <c r="C26" s="21" t="s">
        <v>373</v>
      </c>
      <c r="D26" s="21" t="s">
        <v>101</v>
      </c>
      <c r="E26" s="21" t="s">
        <v>1718</v>
      </c>
      <c r="F26" s="22" t="s">
        <v>1718</v>
      </c>
      <c r="G26" s="22" t="s">
        <v>1718</v>
      </c>
      <c r="H26" s="25" t="e">
        <f t="shared" si="19"/>
        <v>#VALUE!</v>
      </c>
      <c r="I26" s="25" t="e">
        <f t="shared" si="0"/>
        <v>#VALUE!</v>
      </c>
      <c r="J26" s="21" t="e">
        <f t="shared" si="1"/>
        <v>#VALUE!</v>
      </c>
      <c r="K26" s="21" t="e">
        <f t="shared" si="20"/>
        <v>#VALUE!</v>
      </c>
      <c r="L26" s="21" t="e">
        <f t="shared" si="21"/>
        <v>#VALUE!</v>
      </c>
      <c r="M26" s="21" t="e">
        <f t="shared" si="22"/>
        <v>#VALUE!</v>
      </c>
      <c r="N26" s="21" t="e">
        <f t="shared" si="23"/>
        <v>#VALUE!</v>
      </c>
      <c r="O26" s="25" t="str">
        <f>IF('C1 Validation Rubrics'!M28="","",'C1 Validation Rubrics'!M28)</f>
        <v/>
      </c>
      <c r="P26" s="25" t="str">
        <f>IF('C1 Validation Rubrics'!N28="","",'C1 Validation Rubrics'!N28)</f>
        <v/>
      </c>
      <c r="Q26" s="25" t="str">
        <f t="shared" si="4"/>
        <v/>
      </c>
      <c r="R26" s="21" t="str">
        <f>IF('C1 Validation Rubrics'!O28="","",'C1 Validation Rubrics'!O28)</f>
        <v/>
      </c>
    </row>
    <row r="27" spans="1:18" ht="15.75" customHeight="1">
      <c r="A27" s="16" t="s">
        <v>375</v>
      </c>
      <c r="B27" s="16" t="s">
        <v>307</v>
      </c>
      <c r="C27" s="16"/>
      <c r="D27" s="16"/>
      <c r="E27" s="16" t="s">
        <v>1718</v>
      </c>
      <c r="F27" s="16" t="s">
        <v>1718</v>
      </c>
      <c r="G27" s="16" t="s">
        <v>1718</v>
      </c>
      <c r="H27" s="17" t="str">
        <f>IF(COUNT(H28:H32)=0,"",SUM(H28:H32))</f>
        <v/>
      </c>
      <c r="I27" s="17" t="str">
        <f t="shared" si="0"/>
        <v/>
      </c>
      <c r="J27" s="16" t="str">
        <f t="shared" si="1"/>
        <v/>
      </c>
      <c r="K27" s="16" t="e">
        <f t="shared" ref="K27:N27" si="24">SUM(K28:K32)</f>
        <v>#VALUE!</v>
      </c>
      <c r="L27" s="16" t="e">
        <f t="shared" si="24"/>
        <v>#VALUE!</v>
      </c>
      <c r="M27" s="16" t="e">
        <f t="shared" si="24"/>
        <v>#VALUE!</v>
      </c>
      <c r="N27" s="16" t="e">
        <f t="shared" si="24"/>
        <v>#VALUE!</v>
      </c>
      <c r="O27" s="17" t="str">
        <f t="shared" ref="O27:P27" si="25">IF(COUNT(O28:O32)=0,"",SUM(O28:O32))</f>
        <v/>
      </c>
      <c r="P27" s="17" t="str">
        <f t="shared" si="25"/>
        <v/>
      </c>
      <c r="Q27" s="17" t="str">
        <f t="shared" si="4"/>
        <v/>
      </c>
      <c r="R27" s="16"/>
    </row>
    <row r="28" spans="1:18" ht="15.75" customHeight="1">
      <c r="A28" s="21" t="s">
        <v>308</v>
      </c>
      <c r="B28" s="21" t="s">
        <v>309</v>
      </c>
      <c r="C28" s="21" t="s">
        <v>376</v>
      </c>
      <c r="D28" s="21" t="s">
        <v>101</v>
      </c>
      <c r="E28" s="21" t="s">
        <v>1718</v>
      </c>
      <c r="F28" s="22" t="s">
        <v>1718</v>
      </c>
      <c r="G28" s="22" t="s">
        <v>1718</v>
      </c>
      <c r="H28" s="25" t="e">
        <f t="shared" ref="H28:H32" si="26">IF(OR(G28="",F28="",F28=0),"",ROUND(E28*MIN(G28/F28,1),2))</f>
        <v>#VALUE!</v>
      </c>
      <c r="I28" s="25" t="e">
        <f t="shared" si="0"/>
        <v>#VALUE!</v>
      </c>
      <c r="J28" s="21" t="e">
        <f t="shared" si="1"/>
        <v>#VALUE!</v>
      </c>
      <c r="K28" s="21" t="e">
        <f t="shared" ref="K28:K32" si="27">IF($J28="Y",1,"")</f>
        <v>#VALUE!</v>
      </c>
      <c r="L28" s="21" t="e">
        <f t="shared" ref="L28:L32" si="28">IF($J28="C",1,"")</f>
        <v>#VALUE!</v>
      </c>
      <c r="M28" s="21" t="e">
        <f t="shared" ref="M28:M32" si="29">IF($J28="W",1,"")</f>
        <v>#VALUE!</v>
      </c>
      <c r="N28" s="21" t="e">
        <f t="shared" ref="N28:N32" si="30">IF($J28="D",1,"")</f>
        <v>#VALUE!</v>
      </c>
      <c r="O28" s="25" t="str">
        <f>IF('C1 Validation Rubrics'!M30="","",'C1 Validation Rubrics'!M30)</f>
        <v/>
      </c>
      <c r="P28" s="25" t="str">
        <f>IF('C1 Validation Rubrics'!N30="","",'C1 Validation Rubrics'!N30)</f>
        <v/>
      </c>
      <c r="Q28" s="25" t="str">
        <f t="shared" si="4"/>
        <v/>
      </c>
      <c r="R28" s="21" t="str">
        <f>IF('C1 Validation Rubrics'!O30="","",'C1 Validation Rubrics'!O30)</f>
        <v/>
      </c>
    </row>
    <row r="29" spans="1:18" ht="15.75" customHeight="1">
      <c r="A29" s="21" t="s">
        <v>318</v>
      </c>
      <c r="B29" s="21" t="s">
        <v>319</v>
      </c>
      <c r="C29" s="21" t="s">
        <v>379</v>
      </c>
      <c r="D29" s="21" t="s">
        <v>101</v>
      </c>
      <c r="E29" s="21" t="s">
        <v>1718</v>
      </c>
      <c r="F29" s="22" t="s">
        <v>1718</v>
      </c>
      <c r="G29" s="22" t="s">
        <v>1718</v>
      </c>
      <c r="H29" s="25" t="e">
        <f t="shared" si="26"/>
        <v>#VALUE!</v>
      </c>
      <c r="I29" s="25" t="e">
        <f t="shared" si="0"/>
        <v>#VALUE!</v>
      </c>
      <c r="J29" s="21" t="e">
        <f t="shared" si="1"/>
        <v>#VALUE!</v>
      </c>
      <c r="K29" s="21" t="e">
        <f t="shared" si="27"/>
        <v>#VALUE!</v>
      </c>
      <c r="L29" s="21" t="e">
        <f t="shared" si="28"/>
        <v>#VALUE!</v>
      </c>
      <c r="M29" s="21" t="e">
        <f t="shared" si="29"/>
        <v>#VALUE!</v>
      </c>
      <c r="N29" s="21" t="e">
        <f t="shared" si="30"/>
        <v>#VALUE!</v>
      </c>
      <c r="O29" s="25" t="str">
        <f>IF('C1 Validation Rubrics'!M31="","",'C1 Validation Rubrics'!M31)</f>
        <v/>
      </c>
      <c r="P29" s="25" t="str">
        <f>IF('C1 Validation Rubrics'!N31="","",'C1 Validation Rubrics'!N31)</f>
        <v/>
      </c>
      <c r="Q29" s="25" t="str">
        <f t="shared" si="4"/>
        <v/>
      </c>
      <c r="R29" s="21" t="str">
        <f>IF('C1 Validation Rubrics'!O31="","",'C1 Validation Rubrics'!O31)</f>
        <v/>
      </c>
    </row>
    <row r="30" spans="1:18" ht="15.75" customHeight="1">
      <c r="A30" s="21" t="s">
        <v>327</v>
      </c>
      <c r="B30" s="21" t="s">
        <v>328</v>
      </c>
      <c r="C30" s="21" t="s">
        <v>382</v>
      </c>
      <c r="D30" s="21" t="s">
        <v>101</v>
      </c>
      <c r="E30" s="21" t="s">
        <v>1718</v>
      </c>
      <c r="F30" s="22" t="s">
        <v>1718</v>
      </c>
      <c r="G30" s="22" t="s">
        <v>1718</v>
      </c>
      <c r="H30" s="25" t="e">
        <f t="shared" si="26"/>
        <v>#VALUE!</v>
      </c>
      <c r="I30" s="25" t="e">
        <f t="shared" si="0"/>
        <v>#VALUE!</v>
      </c>
      <c r="J30" s="21" t="e">
        <f t="shared" si="1"/>
        <v>#VALUE!</v>
      </c>
      <c r="K30" s="21" t="e">
        <f t="shared" si="27"/>
        <v>#VALUE!</v>
      </c>
      <c r="L30" s="21" t="e">
        <f t="shared" si="28"/>
        <v>#VALUE!</v>
      </c>
      <c r="M30" s="21" t="e">
        <f t="shared" si="29"/>
        <v>#VALUE!</v>
      </c>
      <c r="N30" s="21" t="e">
        <f t="shared" si="30"/>
        <v>#VALUE!</v>
      </c>
      <c r="O30" s="25" t="str">
        <f>IF('C1 Validation Rubrics'!M32="","",'C1 Validation Rubrics'!M32)</f>
        <v/>
      </c>
      <c r="P30" s="25" t="str">
        <f>IF('C1 Validation Rubrics'!N32="","",'C1 Validation Rubrics'!N32)</f>
        <v/>
      </c>
      <c r="Q30" s="25" t="str">
        <f t="shared" si="4"/>
        <v/>
      </c>
      <c r="R30" s="21" t="str">
        <f>IF('C1 Validation Rubrics'!O32="","",'C1 Validation Rubrics'!O32)</f>
        <v/>
      </c>
    </row>
    <row r="31" spans="1:18" ht="15.75" customHeight="1">
      <c r="A31" s="21" t="s">
        <v>335</v>
      </c>
      <c r="B31" s="21" t="s">
        <v>336</v>
      </c>
      <c r="C31" s="21" t="s">
        <v>387</v>
      </c>
      <c r="D31" s="21" t="s">
        <v>101</v>
      </c>
      <c r="E31" s="21" t="s">
        <v>1718</v>
      </c>
      <c r="F31" s="22" t="s">
        <v>1718</v>
      </c>
      <c r="G31" s="22" t="s">
        <v>1718</v>
      </c>
      <c r="H31" s="25" t="e">
        <f t="shared" si="26"/>
        <v>#VALUE!</v>
      </c>
      <c r="I31" s="25" t="e">
        <f t="shared" si="0"/>
        <v>#VALUE!</v>
      </c>
      <c r="J31" s="21" t="e">
        <f t="shared" si="1"/>
        <v>#VALUE!</v>
      </c>
      <c r="K31" s="21" t="e">
        <f t="shared" si="27"/>
        <v>#VALUE!</v>
      </c>
      <c r="L31" s="21" t="e">
        <f t="shared" si="28"/>
        <v>#VALUE!</v>
      </c>
      <c r="M31" s="21" t="e">
        <f t="shared" si="29"/>
        <v>#VALUE!</v>
      </c>
      <c r="N31" s="21" t="e">
        <f t="shared" si="30"/>
        <v>#VALUE!</v>
      </c>
      <c r="O31" s="25" t="str">
        <f>IF('C1 Validation Rubrics'!M33="","",'C1 Validation Rubrics'!M33)</f>
        <v/>
      </c>
      <c r="P31" s="25" t="str">
        <f>IF('C1 Validation Rubrics'!N33="","",'C1 Validation Rubrics'!N33)</f>
        <v/>
      </c>
      <c r="Q31" s="25" t="str">
        <f t="shared" si="4"/>
        <v/>
      </c>
      <c r="R31" s="21" t="str">
        <f>IF('C1 Validation Rubrics'!O33="","",'C1 Validation Rubrics'!O33)</f>
        <v/>
      </c>
    </row>
    <row r="32" spans="1:18" ht="15.75" customHeight="1">
      <c r="A32" s="21" t="s">
        <v>342</v>
      </c>
      <c r="B32" s="21" t="s">
        <v>343</v>
      </c>
      <c r="C32" s="21" t="s">
        <v>393</v>
      </c>
      <c r="D32" s="21" t="s">
        <v>101</v>
      </c>
      <c r="E32" s="21" t="s">
        <v>1718</v>
      </c>
      <c r="F32" s="22" t="s">
        <v>1718</v>
      </c>
      <c r="G32" s="22" t="s">
        <v>1718</v>
      </c>
      <c r="H32" s="25" t="e">
        <f t="shared" si="26"/>
        <v>#VALUE!</v>
      </c>
      <c r="I32" s="25" t="e">
        <f t="shared" si="0"/>
        <v>#VALUE!</v>
      </c>
      <c r="J32" s="21" t="e">
        <f t="shared" si="1"/>
        <v>#VALUE!</v>
      </c>
      <c r="K32" s="21" t="e">
        <f t="shared" si="27"/>
        <v>#VALUE!</v>
      </c>
      <c r="L32" s="21" t="e">
        <f t="shared" si="28"/>
        <v>#VALUE!</v>
      </c>
      <c r="M32" s="21" t="e">
        <f t="shared" si="29"/>
        <v>#VALUE!</v>
      </c>
      <c r="N32" s="21" t="e">
        <f t="shared" si="30"/>
        <v>#VALUE!</v>
      </c>
      <c r="O32" s="25" t="str">
        <f>IF('C1 Validation Rubrics'!M34="","",'C1 Validation Rubrics'!M34)</f>
        <v/>
      </c>
      <c r="P32" s="25" t="str">
        <f>IF('C1 Validation Rubrics'!N34="","",'C1 Validation Rubrics'!N34)</f>
        <v/>
      </c>
      <c r="Q32" s="25" t="str">
        <f t="shared" si="4"/>
        <v/>
      </c>
      <c r="R32" s="21" t="str">
        <f>IF('C1 Validation Rubrics'!O34="","",'C1 Validation Rubrics'!O34)</f>
        <v/>
      </c>
    </row>
    <row r="33" spans="1:18" ht="15.75" customHeight="1">
      <c r="A33" s="16" t="s">
        <v>394</v>
      </c>
      <c r="B33" s="16" t="s">
        <v>352</v>
      </c>
      <c r="C33" s="16"/>
      <c r="D33" s="16"/>
      <c r="E33" s="16" t="s">
        <v>1718</v>
      </c>
      <c r="F33" s="16" t="s">
        <v>1718</v>
      </c>
      <c r="G33" s="16" t="s">
        <v>1718</v>
      </c>
      <c r="H33" s="17" t="str">
        <f>IF(COUNT(H34:H35)=0,"",SUM(H34:H35))</f>
        <v/>
      </c>
      <c r="I33" s="17" t="str">
        <f t="shared" si="0"/>
        <v/>
      </c>
      <c r="J33" s="16" t="str">
        <f t="shared" si="1"/>
        <v/>
      </c>
      <c r="K33" s="16" t="e">
        <f t="shared" ref="K33:N33" si="31">SUM(K34:K35)</f>
        <v>#VALUE!</v>
      </c>
      <c r="L33" s="16" t="e">
        <f t="shared" si="31"/>
        <v>#VALUE!</v>
      </c>
      <c r="M33" s="16" t="e">
        <f t="shared" si="31"/>
        <v>#VALUE!</v>
      </c>
      <c r="N33" s="16" t="e">
        <f t="shared" si="31"/>
        <v>#VALUE!</v>
      </c>
      <c r="O33" s="17" t="str">
        <f t="shared" ref="O33:P33" si="32">IF(COUNT(O34:O35)=0,"",SUM(O34:O35))</f>
        <v/>
      </c>
      <c r="P33" s="17" t="str">
        <f t="shared" si="32"/>
        <v/>
      </c>
      <c r="Q33" s="17" t="str">
        <f t="shared" si="4"/>
        <v/>
      </c>
      <c r="R33" s="16"/>
    </row>
    <row r="34" spans="1:18" ht="15.75" customHeight="1">
      <c r="A34" s="21" t="s">
        <v>354</v>
      </c>
      <c r="B34" s="21" t="s">
        <v>355</v>
      </c>
      <c r="C34" s="21" t="s">
        <v>404</v>
      </c>
      <c r="D34" s="21" t="s">
        <v>101</v>
      </c>
      <c r="E34" s="21" t="s">
        <v>1718</v>
      </c>
      <c r="F34" s="22" t="s">
        <v>1718</v>
      </c>
      <c r="G34" s="22" t="s">
        <v>1718</v>
      </c>
      <c r="H34" s="25" t="e">
        <f t="shared" ref="H34:H35" si="33">IF(OR(G34="",F34="",F34=0),"",ROUND(E34*MIN(G34/F34,1),2))</f>
        <v>#VALUE!</v>
      </c>
      <c r="I34" s="25" t="e">
        <f t="shared" si="0"/>
        <v>#VALUE!</v>
      </c>
      <c r="J34" s="21" t="e">
        <f t="shared" si="1"/>
        <v>#VALUE!</v>
      </c>
      <c r="K34" s="21" t="e">
        <f t="shared" ref="K34:K35" si="34">IF($J34="Y",1,"")</f>
        <v>#VALUE!</v>
      </c>
      <c r="L34" s="21" t="e">
        <f t="shared" ref="L34:L35" si="35">IF($J34="C",1,"")</f>
        <v>#VALUE!</v>
      </c>
      <c r="M34" s="21" t="e">
        <f t="shared" ref="M34:M35" si="36">IF($J34="W",1,"")</f>
        <v>#VALUE!</v>
      </c>
      <c r="N34" s="21" t="e">
        <f t="shared" ref="N34:N35" si="37">IF($J34="D",1,"")</f>
        <v>#VALUE!</v>
      </c>
      <c r="O34" s="25" t="str">
        <f>IF('C1 Validation Rubrics'!M36="","",'C1 Validation Rubrics'!M36)</f>
        <v/>
      </c>
      <c r="P34" s="25" t="str">
        <f>IF('C1 Validation Rubrics'!N36="","",'C1 Validation Rubrics'!N36)</f>
        <v/>
      </c>
      <c r="Q34" s="25" t="str">
        <f t="shared" si="4"/>
        <v/>
      </c>
      <c r="R34" s="21" t="str">
        <f>IF('C1 Validation Rubrics'!O36="","",'C1 Validation Rubrics'!O36)</f>
        <v/>
      </c>
    </row>
    <row r="35" spans="1:18" ht="15.75" customHeight="1">
      <c r="A35" s="21" t="s">
        <v>365</v>
      </c>
      <c r="B35" s="21" t="s">
        <v>366</v>
      </c>
      <c r="C35" s="21" t="s">
        <v>421</v>
      </c>
      <c r="D35" s="21" t="s">
        <v>101</v>
      </c>
      <c r="E35" s="21" t="s">
        <v>1718</v>
      </c>
      <c r="F35" s="22" t="s">
        <v>1718</v>
      </c>
      <c r="G35" s="22" t="s">
        <v>1718</v>
      </c>
      <c r="H35" s="25" t="e">
        <f t="shared" si="33"/>
        <v>#VALUE!</v>
      </c>
      <c r="I35" s="25" t="e">
        <f t="shared" si="0"/>
        <v>#VALUE!</v>
      </c>
      <c r="J35" s="21" t="e">
        <f t="shared" si="1"/>
        <v>#VALUE!</v>
      </c>
      <c r="K35" s="21" t="e">
        <f t="shared" si="34"/>
        <v>#VALUE!</v>
      </c>
      <c r="L35" s="21" t="e">
        <f t="shared" si="35"/>
        <v>#VALUE!</v>
      </c>
      <c r="M35" s="21" t="e">
        <f t="shared" si="36"/>
        <v>#VALUE!</v>
      </c>
      <c r="N35" s="21" t="e">
        <f t="shared" si="37"/>
        <v>#VALUE!</v>
      </c>
      <c r="O35" s="25" t="str">
        <f>IF('C1 Validation Rubrics'!M37="","",'C1 Validation Rubrics'!M37)</f>
        <v/>
      </c>
      <c r="P35" s="25" t="str">
        <f>IF('C1 Validation Rubrics'!N37="","",'C1 Validation Rubrics'!N37)</f>
        <v/>
      </c>
      <c r="Q35" s="25" t="str">
        <f t="shared" si="4"/>
        <v/>
      </c>
      <c r="R35" s="21" t="str">
        <f>IF('C1 Validation Rubrics'!O37="","",'C1 Validation Rubrics'!O37)</f>
        <v/>
      </c>
    </row>
    <row r="36" spans="1:18" ht="15.75" customHeight="1">
      <c r="A36" s="23" t="s">
        <v>54</v>
      </c>
      <c r="B36" s="23" t="s">
        <v>374</v>
      </c>
      <c r="C36" s="23"/>
      <c r="D36" s="23"/>
      <c r="E36" s="23" t="s">
        <v>1718</v>
      </c>
      <c r="F36" s="23" t="s">
        <v>1718</v>
      </c>
      <c r="G36" s="23" t="s">
        <v>1718</v>
      </c>
      <c r="H36" s="35" t="str">
        <f>IF(COUNT(H6,H15,H23,H27,H33)=0,"",N(H6)+N(H15)+N(H23)+N(H27)+N(H33))</f>
        <v/>
      </c>
      <c r="I36" s="35" t="str">
        <f t="shared" si="0"/>
        <v/>
      </c>
      <c r="J36" s="23" t="str">
        <f t="shared" si="1"/>
        <v/>
      </c>
      <c r="K36" s="23" t="e">
        <f t="shared" ref="K36:N36" si="38">N(K6)+N(K15)+N(K23)+N(K27)+N(K33)</f>
        <v>#VALUE!</v>
      </c>
      <c r="L36" s="23" t="e">
        <f t="shared" si="38"/>
        <v>#VALUE!</v>
      </c>
      <c r="M36" s="23" t="e">
        <f t="shared" si="38"/>
        <v>#VALUE!</v>
      </c>
      <c r="N36" s="23" t="e">
        <f t="shared" si="38"/>
        <v>#VALUE!</v>
      </c>
      <c r="O36" s="35" t="str">
        <f t="shared" ref="O36:P36" si="39">IF(COUNT(O6,O15,O23,O27,O33)=0,"",N(O6)+N(O15)+N(O23)+N(O27)+N(O33))</f>
        <v/>
      </c>
      <c r="P36" s="35" t="str">
        <f t="shared" si="39"/>
        <v/>
      </c>
      <c r="Q36" s="35" t="str">
        <f t="shared" si="4"/>
        <v/>
      </c>
      <c r="R36" s="23"/>
    </row>
    <row r="37" spans="1:18" ht="15.75" customHeight="1">
      <c r="A37" s="13" t="s">
        <v>65</v>
      </c>
      <c r="B37" s="44" t="s">
        <v>435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/>
    </row>
    <row r="38" spans="1:18" ht="15.75" customHeight="1">
      <c r="A38" s="16" t="s">
        <v>380</v>
      </c>
      <c r="B38" s="16" t="s">
        <v>381</v>
      </c>
      <c r="C38" s="16"/>
      <c r="D38" s="16"/>
      <c r="E38" s="16" t="s">
        <v>1718</v>
      </c>
      <c r="F38" s="16" t="str">
        <f>IF('C2 Validation Rubrics'!R8="","",'C2 Validation Rubrics'!R8)</f>
        <v/>
      </c>
      <c r="G38" s="16" t="str">
        <f>IF('C2 Validation Rubrics'!S8="","",'C2 Validation Rubrics'!S8)</f>
        <v/>
      </c>
      <c r="H38" s="17" t="str">
        <f>IF(COUNT(H39:H43)=0,"",SUM(H39:H43))</f>
        <v/>
      </c>
      <c r="I38" s="17" t="str">
        <f t="shared" ref="I38:I77" si="40">IF(H38="","",ROUND(H38/E38*100,2))</f>
        <v/>
      </c>
      <c r="J38" s="16" t="str">
        <f t="shared" ref="J38:J77" si="41">IF(I38="","",IF(I38&gt;YT*100,"Y",IF(I38&gt;=CT*100,"C",IF(I38&gt;=WT*100,"W","D"))))</f>
        <v/>
      </c>
      <c r="K38" s="16" t="e">
        <f t="shared" ref="K38:N38" si="42">SUM(K39:K43)</f>
        <v>#VALUE!</v>
      </c>
      <c r="L38" s="16" t="e">
        <f t="shared" si="42"/>
        <v>#VALUE!</v>
      </c>
      <c r="M38" s="16" t="e">
        <f t="shared" si="42"/>
        <v>#VALUE!</v>
      </c>
      <c r="N38" s="16" t="e">
        <f t="shared" si="42"/>
        <v>#VALUE!</v>
      </c>
      <c r="O38" s="17" t="str">
        <f t="shared" ref="O38:P38" si="43">IF(COUNT(O39:O43)=0,"",SUM(O39:O43))</f>
        <v/>
      </c>
      <c r="P38" s="17" t="str">
        <f t="shared" si="43"/>
        <v/>
      </c>
      <c r="Q38" s="17" t="str">
        <f t="shared" ref="Q38:Q77" si="44">IF(N(O38)=0,"",ROUND(N(P38)/O38*100,2))</f>
        <v/>
      </c>
      <c r="R38" s="16"/>
    </row>
    <row r="39" spans="1:18" ht="15.75" customHeight="1">
      <c r="A39" s="21" t="s">
        <v>383</v>
      </c>
      <c r="B39" s="21" t="s">
        <v>384</v>
      </c>
      <c r="C39" s="21" t="s">
        <v>445</v>
      </c>
      <c r="D39" s="21" t="s">
        <v>101</v>
      </c>
      <c r="E39" s="21" t="s">
        <v>1718</v>
      </c>
      <c r="F39" s="22">
        <f>IF('C2 Validation Rubrics'!R9="","",'C2 Validation Rubrics'!R9)</f>
        <v>3</v>
      </c>
      <c r="G39" s="22">
        <f>IF('C2 Validation Rubrics'!S9="","",'C2 Validation Rubrics'!S9)</f>
        <v>2</v>
      </c>
      <c r="H39" s="25" t="e">
        <f t="shared" ref="H39:H43" si="45">IF(OR(G39="",F39="",F39=0),"",ROUND(E39*MIN(G39/F39,1),2))</f>
        <v>#VALUE!</v>
      </c>
      <c r="I39" s="25" t="e">
        <f t="shared" si="40"/>
        <v>#VALUE!</v>
      </c>
      <c r="J39" s="21" t="e">
        <f t="shared" si="41"/>
        <v>#VALUE!</v>
      </c>
      <c r="K39" s="21" t="e">
        <f t="shared" ref="K39:K43" si="46">IF($J39="Y",1,"")</f>
        <v>#VALUE!</v>
      </c>
      <c r="L39" s="21" t="e">
        <f t="shared" ref="L39:L43" si="47">IF($J39="C",1,"")</f>
        <v>#VALUE!</v>
      </c>
      <c r="M39" s="21" t="e">
        <f t="shared" ref="M39:M43" si="48">IF($J39="W",1,"")</f>
        <v>#VALUE!</v>
      </c>
      <c r="N39" s="21" t="e">
        <f t="shared" ref="N39:N43" si="49">IF($J39="D",1,"")</f>
        <v>#VALUE!</v>
      </c>
      <c r="O39" s="25" t="str">
        <f>IF('C2 Validation Rubrics'!M9="","",'C2 Validation Rubrics'!M9)</f>
        <v/>
      </c>
      <c r="P39" s="25" t="str">
        <f>IF('C2 Validation Rubrics'!N9="","",'C2 Validation Rubrics'!N9)</f>
        <v/>
      </c>
      <c r="Q39" s="25" t="str">
        <f t="shared" si="44"/>
        <v/>
      </c>
      <c r="R39" s="21" t="str">
        <f>IF('C2 Validation Rubrics'!O9="","",'C2 Validation Rubrics'!O9)</f>
        <v/>
      </c>
    </row>
    <row r="40" spans="1:18" ht="15.75" customHeight="1">
      <c r="A40" s="21" t="s">
        <v>395</v>
      </c>
      <c r="B40" s="21" t="s">
        <v>396</v>
      </c>
      <c r="C40" s="21" t="s">
        <v>465</v>
      </c>
      <c r="D40" s="21" t="s">
        <v>101</v>
      </c>
      <c r="E40" s="21" t="s">
        <v>1718</v>
      </c>
      <c r="F40" s="22" t="str">
        <f>IF('C2 Validation Rubrics'!R10="","",'C2 Validation Rubrics'!R10)</f>
        <v/>
      </c>
      <c r="G40" s="22" t="str">
        <f>IF('C2 Validation Rubrics'!S10="","",'C2 Validation Rubrics'!S10)</f>
        <v/>
      </c>
      <c r="H40" s="25" t="str">
        <f t="shared" si="45"/>
        <v/>
      </c>
      <c r="I40" s="25" t="str">
        <f t="shared" si="40"/>
        <v/>
      </c>
      <c r="J40" s="21" t="str">
        <f t="shared" si="41"/>
        <v/>
      </c>
      <c r="K40" s="21" t="str">
        <f t="shared" si="46"/>
        <v/>
      </c>
      <c r="L40" s="21" t="str">
        <f t="shared" si="47"/>
        <v/>
      </c>
      <c r="M40" s="21" t="str">
        <f t="shared" si="48"/>
        <v/>
      </c>
      <c r="N40" s="21" t="str">
        <f t="shared" si="49"/>
        <v/>
      </c>
      <c r="O40" s="25" t="str">
        <f>IF('C2 Validation Rubrics'!M10="","",'C2 Validation Rubrics'!M10)</f>
        <v/>
      </c>
      <c r="P40" s="25" t="str">
        <f>IF('C2 Validation Rubrics'!N10="","",'C2 Validation Rubrics'!N10)</f>
        <v/>
      </c>
      <c r="Q40" s="25" t="str">
        <f t="shared" si="44"/>
        <v/>
      </c>
      <c r="R40" s="21" t="str">
        <f>IF('C2 Validation Rubrics'!O10="","",'C2 Validation Rubrics'!O10)</f>
        <v/>
      </c>
    </row>
    <row r="41" spans="1:18" ht="15.75" customHeight="1">
      <c r="A41" s="21" t="s">
        <v>405</v>
      </c>
      <c r="B41" s="21" t="s">
        <v>406</v>
      </c>
      <c r="C41" s="21" t="s">
        <v>475</v>
      </c>
      <c r="D41" s="21" t="s">
        <v>101</v>
      </c>
      <c r="E41" s="21" t="s">
        <v>1718</v>
      </c>
      <c r="F41" s="22" t="str">
        <f>IF('C2 Validation Rubrics'!R11="","",'C2 Validation Rubrics'!R11)</f>
        <v/>
      </c>
      <c r="G41" s="22" t="str">
        <f>IF('C2 Validation Rubrics'!S11="","",'C2 Validation Rubrics'!S11)</f>
        <v/>
      </c>
      <c r="H41" s="25" t="str">
        <f t="shared" si="45"/>
        <v/>
      </c>
      <c r="I41" s="25" t="str">
        <f t="shared" si="40"/>
        <v/>
      </c>
      <c r="J41" s="21" t="str">
        <f t="shared" si="41"/>
        <v/>
      </c>
      <c r="K41" s="21" t="str">
        <f t="shared" si="46"/>
        <v/>
      </c>
      <c r="L41" s="21" t="str">
        <f t="shared" si="47"/>
        <v/>
      </c>
      <c r="M41" s="21" t="str">
        <f t="shared" si="48"/>
        <v/>
      </c>
      <c r="N41" s="21" t="str">
        <f t="shared" si="49"/>
        <v/>
      </c>
      <c r="O41" s="25" t="str">
        <f>IF('C2 Validation Rubrics'!M11="","",'C2 Validation Rubrics'!M11)</f>
        <v/>
      </c>
      <c r="P41" s="25" t="str">
        <f>IF('C2 Validation Rubrics'!N11="","",'C2 Validation Rubrics'!N11)</f>
        <v/>
      </c>
      <c r="Q41" s="25" t="str">
        <f t="shared" si="44"/>
        <v/>
      </c>
      <c r="R41" s="21" t="str">
        <f>IF('C2 Validation Rubrics'!O11="","",'C2 Validation Rubrics'!O11)</f>
        <v/>
      </c>
    </row>
    <row r="42" spans="1:18" ht="15.75" customHeight="1">
      <c r="A42" s="21" t="s">
        <v>415</v>
      </c>
      <c r="B42" s="21" t="s">
        <v>416</v>
      </c>
      <c r="C42" s="21" t="s">
        <v>487</v>
      </c>
      <c r="D42" s="21" t="s">
        <v>101</v>
      </c>
      <c r="E42" s="21" t="s">
        <v>1718</v>
      </c>
      <c r="F42" s="22" t="str">
        <f>IF('C2 Validation Rubrics'!R12="","",'C2 Validation Rubrics'!R12)</f>
        <v/>
      </c>
      <c r="G42" s="22" t="str">
        <f>IF('C2 Validation Rubrics'!S12="","",'C2 Validation Rubrics'!S12)</f>
        <v/>
      </c>
      <c r="H42" s="25" t="str">
        <f t="shared" si="45"/>
        <v/>
      </c>
      <c r="I42" s="25" t="str">
        <f t="shared" si="40"/>
        <v/>
      </c>
      <c r="J42" s="21" t="str">
        <f t="shared" si="41"/>
        <v/>
      </c>
      <c r="K42" s="21" t="str">
        <f t="shared" si="46"/>
        <v/>
      </c>
      <c r="L42" s="21" t="str">
        <f t="shared" si="47"/>
        <v/>
      </c>
      <c r="M42" s="21" t="str">
        <f t="shared" si="48"/>
        <v/>
      </c>
      <c r="N42" s="21" t="str">
        <f t="shared" si="49"/>
        <v/>
      </c>
      <c r="O42" s="25" t="str">
        <f>IF('C2 Validation Rubrics'!M12="","",'C2 Validation Rubrics'!M12)</f>
        <v/>
      </c>
      <c r="P42" s="25" t="str">
        <f>IF('C2 Validation Rubrics'!N12="","",'C2 Validation Rubrics'!N12)</f>
        <v/>
      </c>
      <c r="Q42" s="25" t="str">
        <f t="shared" si="44"/>
        <v/>
      </c>
      <c r="R42" s="21" t="str">
        <f>IF('C2 Validation Rubrics'!O12="","",'C2 Validation Rubrics'!O12)</f>
        <v/>
      </c>
    </row>
    <row r="43" spans="1:18" ht="15.75" customHeight="1">
      <c r="A43" s="21" t="s">
        <v>425</v>
      </c>
      <c r="B43" s="21" t="s">
        <v>426</v>
      </c>
      <c r="C43" s="21" t="s">
        <v>488</v>
      </c>
      <c r="D43" s="21" t="s">
        <v>101</v>
      </c>
      <c r="E43" s="21" t="s">
        <v>1718</v>
      </c>
      <c r="F43" s="22" t="str">
        <f>IF('C2 Validation Rubrics'!R13="","",'C2 Validation Rubrics'!R13)</f>
        <v/>
      </c>
      <c r="G43" s="22" t="str">
        <f>IF('C2 Validation Rubrics'!S13="","",'C2 Validation Rubrics'!S13)</f>
        <v/>
      </c>
      <c r="H43" s="25" t="str">
        <f t="shared" si="45"/>
        <v/>
      </c>
      <c r="I43" s="25" t="str">
        <f t="shared" si="40"/>
        <v/>
      </c>
      <c r="J43" s="21" t="str">
        <f t="shared" si="41"/>
        <v/>
      </c>
      <c r="K43" s="21" t="str">
        <f t="shared" si="46"/>
        <v/>
      </c>
      <c r="L43" s="21" t="str">
        <f t="shared" si="47"/>
        <v/>
      </c>
      <c r="M43" s="21" t="str">
        <f t="shared" si="48"/>
        <v/>
      </c>
      <c r="N43" s="21" t="str">
        <f t="shared" si="49"/>
        <v/>
      </c>
      <c r="O43" s="25" t="str">
        <f>IF('C2 Validation Rubrics'!M13="","",'C2 Validation Rubrics'!M13)</f>
        <v/>
      </c>
      <c r="P43" s="25" t="str">
        <f>IF('C2 Validation Rubrics'!N13="","",'C2 Validation Rubrics'!N13)</f>
        <v/>
      </c>
      <c r="Q43" s="25" t="str">
        <f t="shared" si="44"/>
        <v/>
      </c>
      <c r="R43" s="21" t="str">
        <f>IF('C2 Validation Rubrics'!O13="","",'C2 Validation Rubrics'!O13)</f>
        <v/>
      </c>
    </row>
    <row r="44" spans="1:18" ht="15.75" customHeight="1">
      <c r="A44" s="16" t="s">
        <v>433</v>
      </c>
      <c r="B44" s="16" t="s">
        <v>434</v>
      </c>
      <c r="C44" s="16"/>
      <c r="D44" s="16"/>
      <c r="E44" s="16" t="s">
        <v>1718</v>
      </c>
      <c r="F44" s="16" t="str">
        <f>IF('C2 Validation Rubrics'!R14="","",'C2 Validation Rubrics'!R14)</f>
        <v/>
      </c>
      <c r="G44" s="16" t="str">
        <f>IF('C2 Validation Rubrics'!S14="","",'C2 Validation Rubrics'!S14)</f>
        <v/>
      </c>
      <c r="H44" s="17" t="str">
        <f>IF(COUNT(H45:H49)=0,"",SUM(H45:H49))</f>
        <v/>
      </c>
      <c r="I44" s="17" t="str">
        <f t="shared" si="40"/>
        <v/>
      </c>
      <c r="J44" s="16" t="str">
        <f t="shared" si="41"/>
        <v/>
      </c>
      <c r="K44" s="16">
        <f t="shared" ref="K44:N44" si="50">SUM(K45:K49)</f>
        <v>0</v>
      </c>
      <c r="L44" s="16">
        <f t="shared" si="50"/>
        <v>0</v>
      </c>
      <c r="M44" s="16">
        <f t="shared" si="50"/>
        <v>0</v>
      </c>
      <c r="N44" s="16">
        <f t="shared" si="50"/>
        <v>0</v>
      </c>
      <c r="O44" s="17" t="str">
        <f t="shared" ref="O44:P44" si="51">IF(COUNT(O45:O49)=0,"",SUM(O45:O49))</f>
        <v/>
      </c>
      <c r="P44" s="17" t="str">
        <f t="shared" si="51"/>
        <v/>
      </c>
      <c r="Q44" s="17" t="str">
        <f t="shared" si="44"/>
        <v/>
      </c>
      <c r="R44" s="16"/>
    </row>
    <row r="45" spans="1:18" ht="15.75" customHeight="1">
      <c r="A45" s="21" t="s">
        <v>436</v>
      </c>
      <c r="B45" s="21" t="s">
        <v>437</v>
      </c>
      <c r="C45" s="21" t="s">
        <v>499</v>
      </c>
      <c r="D45" s="21" t="s">
        <v>101</v>
      </c>
      <c r="E45" s="21" t="s">
        <v>1718</v>
      </c>
      <c r="F45" s="22" t="str">
        <f>IF('C2 Validation Rubrics'!R15="","",'C2 Validation Rubrics'!R15)</f>
        <v/>
      </c>
      <c r="G45" s="22" t="str">
        <f>IF('C2 Validation Rubrics'!S15="","",'C2 Validation Rubrics'!S15)</f>
        <v/>
      </c>
      <c r="H45" s="25" t="str">
        <f t="shared" ref="H45:H49" si="52">IF(OR(G45="",F45="",F45=0),"",ROUND(E45*MIN(G45/F45,1),2))</f>
        <v/>
      </c>
      <c r="I45" s="25" t="str">
        <f t="shared" si="40"/>
        <v/>
      </c>
      <c r="J45" s="21" t="str">
        <f t="shared" si="41"/>
        <v/>
      </c>
      <c r="K45" s="21" t="str">
        <f t="shared" ref="K45:K49" si="53">IF($J45="Y",1,"")</f>
        <v/>
      </c>
      <c r="L45" s="21" t="str">
        <f t="shared" ref="L45:L49" si="54">IF($J45="C",1,"")</f>
        <v/>
      </c>
      <c r="M45" s="21" t="str">
        <f t="shared" ref="M45:M49" si="55">IF($J45="W",1,"")</f>
        <v/>
      </c>
      <c r="N45" s="21" t="str">
        <f t="shared" ref="N45:N49" si="56">IF($J45="D",1,"")</f>
        <v/>
      </c>
      <c r="O45" s="25" t="str">
        <f>IF('C2 Validation Rubrics'!M15="","",'C2 Validation Rubrics'!M15)</f>
        <v/>
      </c>
      <c r="P45" s="25" t="str">
        <f>IF('C2 Validation Rubrics'!N15="","",'C2 Validation Rubrics'!N15)</f>
        <v/>
      </c>
      <c r="Q45" s="25" t="str">
        <f t="shared" si="44"/>
        <v/>
      </c>
      <c r="R45" s="21" t="str">
        <f>IF('C2 Validation Rubrics'!O15="","",'C2 Validation Rubrics'!O15)</f>
        <v/>
      </c>
    </row>
    <row r="46" spans="1:18" ht="15.75" customHeight="1">
      <c r="A46" s="21" t="s">
        <v>446</v>
      </c>
      <c r="B46" s="21" t="s">
        <v>447</v>
      </c>
      <c r="C46" s="21" t="s">
        <v>516</v>
      </c>
      <c r="D46" s="21" t="s">
        <v>101</v>
      </c>
      <c r="E46" s="21" t="s">
        <v>1718</v>
      </c>
      <c r="F46" s="22" t="str">
        <f>IF('C2 Validation Rubrics'!R16="","",'C2 Validation Rubrics'!R16)</f>
        <v/>
      </c>
      <c r="G46" s="22" t="str">
        <f>IF('C2 Validation Rubrics'!S16="","",'C2 Validation Rubrics'!S16)</f>
        <v/>
      </c>
      <c r="H46" s="25" t="str">
        <f t="shared" si="52"/>
        <v/>
      </c>
      <c r="I46" s="25" t="str">
        <f t="shared" si="40"/>
        <v/>
      </c>
      <c r="J46" s="21" t="str">
        <f t="shared" si="41"/>
        <v/>
      </c>
      <c r="K46" s="21" t="str">
        <f t="shared" si="53"/>
        <v/>
      </c>
      <c r="L46" s="21" t="str">
        <f t="shared" si="54"/>
        <v/>
      </c>
      <c r="M46" s="21" t="str">
        <f t="shared" si="55"/>
        <v/>
      </c>
      <c r="N46" s="21" t="str">
        <f t="shared" si="56"/>
        <v/>
      </c>
      <c r="O46" s="25" t="str">
        <f>IF('C2 Validation Rubrics'!M16="","",'C2 Validation Rubrics'!M16)</f>
        <v/>
      </c>
      <c r="P46" s="25" t="str">
        <f>IF('C2 Validation Rubrics'!N16="","",'C2 Validation Rubrics'!N16)</f>
        <v/>
      </c>
      <c r="Q46" s="25" t="str">
        <f t="shared" si="44"/>
        <v/>
      </c>
      <c r="R46" s="21" t="str">
        <f>IF('C2 Validation Rubrics'!O16="","",'C2 Validation Rubrics'!O16)</f>
        <v/>
      </c>
    </row>
    <row r="47" spans="1:18" ht="15.75" customHeight="1">
      <c r="A47" s="21" t="s">
        <v>456</v>
      </c>
      <c r="B47" s="21" t="s">
        <v>457</v>
      </c>
      <c r="C47" s="21" t="s">
        <v>519</v>
      </c>
      <c r="D47" s="21" t="s">
        <v>101</v>
      </c>
      <c r="E47" s="21" t="s">
        <v>1718</v>
      </c>
      <c r="F47" s="22" t="str">
        <f>IF('C2 Validation Rubrics'!R17="","",'C2 Validation Rubrics'!R17)</f>
        <v/>
      </c>
      <c r="G47" s="22" t="str">
        <f>IF('C2 Validation Rubrics'!S17="","",'C2 Validation Rubrics'!S17)</f>
        <v/>
      </c>
      <c r="H47" s="25" t="str">
        <f t="shared" si="52"/>
        <v/>
      </c>
      <c r="I47" s="25" t="str">
        <f t="shared" si="40"/>
        <v/>
      </c>
      <c r="J47" s="21" t="str">
        <f t="shared" si="41"/>
        <v/>
      </c>
      <c r="K47" s="21" t="str">
        <f t="shared" si="53"/>
        <v/>
      </c>
      <c r="L47" s="21" t="str">
        <f t="shared" si="54"/>
        <v/>
      </c>
      <c r="M47" s="21" t="str">
        <f t="shared" si="55"/>
        <v/>
      </c>
      <c r="N47" s="21" t="str">
        <f t="shared" si="56"/>
        <v/>
      </c>
      <c r="O47" s="25" t="str">
        <f>IF('C2 Validation Rubrics'!M17="","",'C2 Validation Rubrics'!M17)</f>
        <v/>
      </c>
      <c r="P47" s="25" t="str">
        <f>IF('C2 Validation Rubrics'!N17="","",'C2 Validation Rubrics'!N17)</f>
        <v/>
      </c>
      <c r="Q47" s="25" t="str">
        <f t="shared" si="44"/>
        <v/>
      </c>
      <c r="R47" s="21" t="str">
        <f>IF('C2 Validation Rubrics'!O17="","",'C2 Validation Rubrics'!O17)</f>
        <v/>
      </c>
    </row>
    <row r="48" spans="1:18" ht="15.75" customHeight="1">
      <c r="A48" s="21" t="s">
        <v>466</v>
      </c>
      <c r="B48" s="21" t="s">
        <v>467</v>
      </c>
      <c r="C48" s="21" t="s">
        <v>529</v>
      </c>
      <c r="D48" s="21" t="s">
        <v>101</v>
      </c>
      <c r="E48" s="21" t="s">
        <v>1718</v>
      </c>
      <c r="F48" s="22" t="str">
        <f>IF('C2 Validation Rubrics'!R18="","",'C2 Validation Rubrics'!R18)</f>
        <v/>
      </c>
      <c r="G48" s="22" t="str">
        <f>IF('C2 Validation Rubrics'!S18="","",'C2 Validation Rubrics'!S18)</f>
        <v/>
      </c>
      <c r="H48" s="25" t="str">
        <f t="shared" si="52"/>
        <v/>
      </c>
      <c r="I48" s="25" t="str">
        <f t="shared" si="40"/>
        <v/>
      </c>
      <c r="J48" s="21" t="str">
        <f t="shared" si="41"/>
        <v/>
      </c>
      <c r="K48" s="21" t="str">
        <f t="shared" si="53"/>
        <v/>
      </c>
      <c r="L48" s="21" t="str">
        <f t="shared" si="54"/>
        <v/>
      </c>
      <c r="M48" s="21" t="str">
        <f t="shared" si="55"/>
        <v/>
      </c>
      <c r="N48" s="21" t="str">
        <f t="shared" si="56"/>
        <v/>
      </c>
      <c r="O48" s="25" t="str">
        <f>IF('C2 Validation Rubrics'!M18="","",'C2 Validation Rubrics'!M18)</f>
        <v/>
      </c>
      <c r="P48" s="25" t="str">
        <f>IF('C2 Validation Rubrics'!N18="","",'C2 Validation Rubrics'!N18)</f>
        <v/>
      </c>
      <c r="Q48" s="25" t="str">
        <f t="shared" si="44"/>
        <v/>
      </c>
      <c r="R48" s="21" t="str">
        <f>IF('C2 Validation Rubrics'!O18="","",'C2 Validation Rubrics'!O18)</f>
        <v/>
      </c>
    </row>
    <row r="49" spans="1:18" ht="15.75" customHeight="1">
      <c r="A49" s="21" t="s">
        <v>476</v>
      </c>
      <c r="B49" s="21" t="s">
        <v>477</v>
      </c>
      <c r="C49" s="21" t="s">
        <v>530</v>
      </c>
      <c r="D49" s="21" t="s">
        <v>101</v>
      </c>
      <c r="E49" s="21" t="s">
        <v>1718</v>
      </c>
      <c r="F49" s="22" t="str">
        <f>IF('C2 Validation Rubrics'!R19="","",'C2 Validation Rubrics'!R19)</f>
        <v/>
      </c>
      <c r="G49" s="22" t="str">
        <f>IF('C2 Validation Rubrics'!S19="","",'C2 Validation Rubrics'!S19)</f>
        <v/>
      </c>
      <c r="H49" s="25" t="str">
        <f t="shared" si="52"/>
        <v/>
      </c>
      <c r="I49" s="25" t="str">
        <f t="shared" si="40"/>
        <v/>
      </c>
      <c r="J49" s="21" t="str">
        <f t="shared" si="41"/>
        <v/>
      </c>
      <c r="K49" s="21" t="str">
        <f t="shared" si="53"/>
        <v/>
      </c>
      <c r="L49" s="21" t="str">
        <f t="shared" si="54"/>
        <v/>
      </c>
      <c r="M49" s="21" t="str">
        <f t="shared" si="55"/>
        <v/>
      </c>
      <c r="N49" s="21" t="str">
        <f t="shared" si="56"/>
        <v/>
      </c>
      <c r="O49" s="25" t="str">
        <f>IF('C2 Validation Rubrics'!M19="","",'C2 Validation Rubrics'!M19)</f>
        <v/>
      </c>
      <c r="P49" s="25" t="str">
        <f>IF('C2 Validation Rubrics'!N19="","",'C2 Validation Rubrics'!N19)</f>
        <v/>
      </c>
      <c r="Q49" s="25" t="str">
        <f t="shared" si="44"/>
        <v/>
      </c>
      <c r="R49" s="21" t="str">
        <f>IF('C2 Validation Rubrics'!O19="","",'C2 Validation Rubrics'!O19)</f>
        <v/>
      </c>
    </row>
    <row r="50" spans="1:18" ht="15.75" customHeight="1">
      <c r="A50" s="16" t="s">
        <v>485</v>
      </c>
      <c r="B50" s="16" t="s">
        <v>486</v>
      </c>
      <c r="C50" s="16"/>
      <c r="D50" s="16"/>
      <c r="E50" s="16" t="s">
        <v>1718</v>
      </c>
      <c r="F50" s="16" t="str">
        <f>IF('C2 Validation Rubrics'!R20="","",'C2 Validation Rubrics'!R20)</f>
        <v/>
      </c>
      <c r="G50" s="16" t="str">
        <f>IF('C2 Validation Rubrics'!S20="","",'C2 Validation Rubrics'!S20)</f>
        <v/>
      </c>
      <c r="H50" s="17" t="str">
        <f>IF(COUNT(H51:H53)=0,"",SUM(H51:H53))</f>
        <v/>
      </c>
      <c r="I50" s="17" t="str">
        <f t="shared" si="40"/>
        <v/>
      </c>
      <c r="J50" s="16" t="str">
        <f t="shared" si="41"/>
        <v/>
      </c>
      <c r="K50" s="16" t="e">
        <f t="shared" ref="K50:N50" si="57">SUM(K51:K53)</f>
        <v>#VALUE!</v>
      </c>
      <c r="L50" s="16" t="e">
        <f t="shared" si="57"/>
        <v>#VALUE!</v>
      </c>
      <c r="M50" s="16" t="e">
        <f t="shared" si="57"/>
        <v>#VALUE!</v>
      </c>
      <c r="N50" s="16" t="e">
        <f t="shared" si="57"/>
        <v>#VALUE!</v>
      </c>
      <c r="O50" s="17" t="str">
        <f t="shared" ref="O50:P50" si="58">IF(COUNT(O51:O53)=0,"",SUM(O51:O53))</f>
        <v/>
      </c>
      <c r="P50" s="17" t="str">
        <f t="shared" si="58"/>
        <v/>
      </c>
      <c r="Q50" s="17" t="str">
        <f t="shared" si="44"/>
        <v/>
      </c>
      <c r="R50" s="16"/>
    </row>
    <row r="51" spans="1:18" ht="15.75" customHeight="1">
      <c r="A51" s="21" t="s">
        <v>489</v>
      </c>
      <c r="B51" s="21" t="s">
        <v>490</v>
      </c>
      <c r="C51" s="21" t="s">
        <v>549</v>
      </c>
      <c r="D51" s="21" t="s">
        <v>101</v>
      </c>
      <c r="E51" s="21" t="s">
        <v>1718</v>
      </c>
      <c r="F51" s="22" t="str">
        <f>IF('C2 Validation Rubrics'!R21="","",'C2 Validation Rubrics'!R21)</f>
        <v/>
      </c>
      <c r="G51" s="22" t="str">
        <f>IF('C2 Validation Rubrics'!S21="","",'C2 Validation Rubrics'!S21)</f>
        <v/>
      </c>
      <c r="H51" s="25" t="str">
        <f t="shared" ref="H51:H53" si="59">IF(OR(G51="",F51="",F51=0),"",ROUND(E51*MIN(G51/F51,1),2))</f>
        <v/>
      </c>
      <c r="I51" s="25" t="str">
        <f t="shared" si="40"/>
        <v/>
      </c>
      <c r="J51" s="21" t="str">
        <f t="shared" si="41"/>
        <v/>
      </c>
      <c r="K51" s="21" t="str">
        <f t="shared" ref="K51:K53" si="60">IF($J51="Y",1,"")</f>
        <v/>
      </c>
      <c r="L51" s="21" t="str">
        <f t="shared" ref="L51:L53" si="61">IF($J51="C",1,"")</f>
        <v/>
      </c>
      <c r="M51" s="21" t="str">
        <f t="shared" ref="M51:M53" si="62">IF($J51="W",1,"")</f>
        <v/>
      </c>
      <c r="N51" s="21" t="str">
        <f t="shared" ref="N51:N53" si="63">IF($J51="D",1,"")</f>
        <v/>
      </c>
      <c r="O51" s="25" t="str">
        <f>IF('C2 Validation Rubrics'!M21="","",'C2 Validation Rubrics'!M21)</f>
        <v/>
      </c>
      <c r="P51" s="25" t="str">
        <f>IF('C2 Validation Rubrics'!N21="","",'C2 Validation Rubrics'!N21)</f>
        <v/>
      </c>
      <c r="Q51" s="25" t="str">
        <f t="shared" si="44"/>
        <v/>
      </c>
      <c r="R51" s="21" t="str">
        <f>IF('C2 Validation Rubrics'!O21="","",'C2 Validation Rubrics'!O21)</f>
        <v/>
      </c>
    </row>
    <row r="52" spans="1:18" ht="15.75" customHeight="1">
      <c r="A52" s="21" t="s">
        <v>497</v>
      </c>
      <c r="B52" s="21" t="s">
        <v>498</v>
      </c>
      <c r="C52" s="21" t="s">
        <v>559</v>
      </c>
      <c r="D52" s="21" t="s">
        <v>101</v>
      </c>
      <c r="E52" s="21" t="s">
        <v>1718</v>
      </c>
      <c r="F52" s="22" t="str">
        <f>IF('C2 Validation Rubrics'!R22="","",'C2 Validation Rubrics'!R22)</f>
        <v/>
      </c>
      <c r="G52" s="22" t="str">
        <f>IF('C2 Validation Rubrics'!S22="","",'C2 Validation Rubrics'!S22)</f>
        <v/>
      </c>
      <c r="H52" s="25" t="str">
        <f t="shared" si="59"/>
        <v/>
      </c>
      <c r="I52" s="25" t="str">
        <f t="shared" si="40"/>
        <v/>
      </c>
      <c r="J52" s="21" t="str">
        <f t="shared" si="41"/>
        <v/>
      </c>
      <c r="K52" s="21" t="str">
        <f t="shared" si="60"/>
        <v/>
      </c>
      <c r="L52" s="21" t="str">
        <f t="shared" si="61"/>
        <v/>
      </c>
      <c r="M52" s="21" t="str">
        <f t="shared" si="62"/>
        <v/>
      </c>
      <c r="N52" s="21" t="str">
        <f t="shared" si="63"/>
        <v/>
      </c>
      <c r="O52" s="25" t="str">
        <f>IF('C2 Validation Rubrics'!M22="","",'C2 Validation Rubrics'!M22)</f>
        <v/>
      </c>
      <c r="P52" s="25" t="str">
        <f>IF('C2 Validation Rubrics'!N22="","",'C2 Validation Rubrics'!N22)</f>
        <v/>
      </c>
      <c r="Q52" s="25" t="str">
        <f t="shared" si="44"/>
        <v/>
      </c>
      <c r="R52" s="21" t="str">
        <f>IF('C2 Validation Rubrics'!O22="","",'C2 Validation Rubrics'!O22)</f>
        <v/>
      </c>
    </row>
    <row r="53" spans="1:18" ht="15.75" customHeight="1">
      <c r="A53" s="21" t="s">
        <v>507</v>
      </c>
      <c r="B53" s="21" t="s">
        <v>508</v>
      </c>
      <c r="C53" s="21" t="s">
        <v>571</v>
      </c>
      <c r="D53" s="21" t="s">
        <v>101</v>
      </c>
      <c r="E53" s="21" t="s">
        <v>1718</v>
      </c>
      <c r="F53" s="22">
        <f>IF('C2 Validation Rubrics'!R23="","",'C2 Validation Rubrics'!R23)</f>
        <v>2</v>
      </c>
      <c r="G53" s="22">
        <f>IF('C2 Validation Rubrics'!S23="","",'C2 Validation Rubrics'!S23)</f>
        <v>1</v>
      </c>
      <c r="H53" s="25" t="e">
        <f t="shared" si="59"/>
        <v>#VALUE!</v>
      </c>
      <c r="I53" s="25" t="e">
        <f t="shared" si="40"/>
        <v>#VALUE!</v>
      </c>
      <c r="J53" s="21" t="e">
        <f t="shared" si="41"/>
        <v>#VALUE!</v>
      </c>
      <c r="K53" s="21" t="e">
        <f t="shared" si="60"/>
        <v>#VALUE!</v>
      </c>
      <c r="L53" s="21" t="e">
        <f t="shared" si="61"/>
        <v>#VALUE!</v>
      </c>
      <c r="M53" s="21" t="e">
        <f t="shared" si="62"/>
        <v>#VALUE!</v>
      </c>
      <c r="N53" s="21" t="e">
        <f t="shared" si="63"/>
        <v>#VALUE!</v>
      </c>
      <c r="O53" s="25" t="str">
        <f>IF('C2 Validation Rubrics'!M23="","",'C2 Validation Rubrics'!M23)</f>
        <v/>
      </c>
      <c r="P53" s="25" t="str">
        <f>IF('C2 Validation Rubrics'!N23="","",'C2 Validation Rubrics'!N23)</f>
        <v/>
      </c>
      <c r="Q53" s="25" t="str">
        <f t="shared" si="44"/>
        <v/>
      </c>
      <c r="R53" s="21" t="str">
        <f>IF('C2 Validation Rubrics'!O23="","",'C2 Validation Rubrics'!O23)</f>
        <v/>
      </c>
    </row>
    <row r="54" spans="1:18" ht="15.75" customHeight="1">
      <c r="A54" s="16" t="s">
        <v>517</v>
      </c>
      <c r="B54" s="16" t="s">
        <v>518</v>
      </c>
      <c r="C54" s="16"/>
      <c r="D54" s="16"/>
      <c r="E54" s="16" t="s">
        <v>1718</v>
      </c>
      <c r="F54" s="16" t="str">
        <f>IF('C2 Validation Rubrics'!R24="","",'C2 Validation Rubrics'!R24)</f>
        <v/>
      </c>
      <c r="G54" s="16" t="str">
        <f>IF('C2 Validation Rubrics'!S24="","",'C2 Validation Rubrics'!S24)</f>
        <v/>
      </c>
      <c r="H54" s="17" t="str">
        <f>IF(COUNT(H55:H57)=0,"",SUM(H55:H57))</f>
        <v/>
      </c>
      <c r="I54" s="17" t="str">
        <f t="shared" si="40"/>
        <v/>
      </c>
      <c r="J54" s="16" t="str">
        <f t="shared" si="41"/>
        <v/>
      </c>
      <c r="K54" s="16">
        <f t="shared" ref="K54:N54" si="64">SUM(K55:K57)</f>
        <v>0</v>
      </c>
      <c r="L54" s="16">
        <f t="shared" si="64"/>
        <v>0</v>
      </c>
      <c r="M54" s="16">
        <f t="shared" si="64"/>
        <v>0</v>
      </c>
      <c r="N54" s="16">
        <f t="shared" si="64"/>
        <v>0</v>
      </c>
      <c r="O54" s="17" t="str">
        <f t="shared" ref="O54:P54" si="65">IF(COUNT(O55:O57)=0,"",SUM(O55:O57))</f>
        <v/>
      </c>
      <c r="P54" s="17" t="str">
        <f t="shared" si="65"/>
        <v/>
      </c>
      <c r="Q54" s="17" t="str">
        <f t="shared" si="44"/>
        <v/>
      </c>
      <c r="R54" s="16"/>
    </row>
    <row r="55" spans="1:18" ht="15.75" customHeight="1">
      <c r="A55" s="21" t="s">
        <v>520</v>
      </c>
      <c r="B55" s="21" t="s">
        <v>521</v>
      </c>
      <c r="C55" s="21" t="s">
        <v>599</v>
      </c>
      <c r="D55" s="21" t="s">
        <v>101</v>
      </c>
      <c r="E55" s="21" t="s">
        <v>1718</v>
      </c>
      <c r="F55" s="22" t="str">
        <f>IF('C2 Validation Rubrics'!R25="","",'C2 Validation Rubrics'!R25)</f>
        <v/>
      </c>
      <c r="G55" s="22" t="str">
        <f>IF('C2 Validation Rubrics'!S25="","",'C2 Validation Rubrics'!S25)</f>
        <v/>
      </c>
      <c r="H55" s="25" t="str">
        <f t="shared" ref="H55:H57" si="66">IF(OR(G55="",F55="",F55=0),"",ROUND(E55*MIN(G55/F55,1),2))</f>
        <v/>
      </c>
      <c r="I55" s="25" t="str">
        <f t="shared" si="40"/>
        <v/>
      </c>
      <c r="J55" s="21" t="str">
        <f t="shared" si="41"/>
        <v/>
      </c>
      <c r="K55" s="21" t="str">
        <f t="shared" ref="K55:K57" si="67">IF($J55="Y",1,"")</f>
        <v/>
      </c>
      <c r="L55" s="21" t="str">
        <f t="shared" ref="L55:L57" si="68">IF($J55="C",1,"")</f>
        <v/>
      </c>
      <c r="M55" s="21" t="str">
        <f t="shared" ref="M55:M57" si="69">IF($J55="W",1,"")</f>
        <v/>
      </c>
      <c r="N55" s="21" t="str">
        <f t="shared" ref="N55:N57" si="70">IF($J55="D",1,"")</f>
        <v/>
      </c>
      <c r="O55" s="25" t="str">
        <f>IF('C2 Validation Rubrics'!M25="","",'C2 Validation Rubrics'!M25)</f>
        <v/>
      </c>
      <c r="P55" s="25" t="str">
        <f>IF('C2 Validation Rubrics'!N25="","",'C2 Validation Rubrics'!N25)</f>
        <v/>
      </c>
      <c r="Q55" s="25" t="str">
        <f t="shared" si="44"/>
        <v/>
      </c>
      <c r="R55" s="21" t="str">
        <f>IF('C2 Validation Rubrics'!O25="","",'C2 Validation Rubrics'!O25)</f>
        <v/>
      </c>
    </row>
    <row r="56" spans="1:18" ht="15.75" customHeight="1">
      <c r="A56" s="21" t="s">
        <v>531</v>
      </c>
      <c r="B56" s="21" t="s">
        <v>532</v>
      </c>
      <c r="C56" s="21" t="s">
        <v>633</v>
      </c>
      <c r="D56" s="21" t="s">
        <v>101</v>
      </c>
      <c r="E56" s="21" t="s">
        <v>1718</v>
      </c>
      <c r="F56" s="22" t="str">
        <f>IF('C2 Validation Rubrics'!R26="","",'C2 Validation Rubrics'!R26)</f>
        <v/>
      </c>
      <c r="G56" s="22" t="str">
        <f>IF('C2 Validation Rubrics'!S26="","",'C2 Validation Rubrics'!S26)</f>
        <v/>
      </c>
      <c r="H56" s="25" t="str">
        <f t="shared" si="66"/>
        <v/>
      </c>
      <c r="I56" s="25" t="str">
        <f t="shared" si="40"/>
        <v/>
      </c>
      <c r="J56" s="21" t="str">
        <f t="shared" si="41"/>
        <v/>
      </c>
      <c r="K56" s="21" t="str">
        <f t="shared" si="67"/>
        <v/>
      </c>
      <c r="L56" s="21" t="str">
        <f t="shared" si="68"/>
        <v/>
      </c>
      <c r="M56" s="21" t="str">
        <f t="shared" si="69"/>
        <v/>
      </c>
      <c r="N56" s="21" t="str">
        <f t="shared" si="70"/>
        <v/>
      </c>
      <c r="O56" s="25" t="str">
        <f>IF('C2 Validation Rubrics'!M26="","",'C2 Validation Rubrics'!M26)</f>
        <v/>
      </c>
      <c r="P56" s="25" t="str">
        <f>IF('C2 Validation Rubrics'!N26="","",'C2 Validation Rubrics'!N26)</f>
        <v/>
      </c>
      <c r="Q56" s="25" t="str">
        <f t="shared" si="44"/>
        <v/>
      </c>
      <c r="R56" s="21" t="str">
        <f>IF('C2 Validation Rubrics'!O26="","",'C2 Validation Rubrics'!O26)</f>
        <v/>
      </c>
    </row>
    <row r="57" spans="1:18" ht="15.75" customHeight="1">
      <c r="A57" s="21" t="s">
        <v>539</v>
      </c>
      <c r="B57" s="21" t="s">
        <v>540</v>
      </c>
      <c r="C57" s="21" t="s">
        <v>650</v>
      </c>
      <c r="D57" s="21" t="s">
        <v>101</v>
      </c>
      <c r="E57" s="21" t="s">
        <v>1718</v>
      </c>
      <c r="F57" s="22" t="str">
        <f>IF('C2 Validation Rubrics'!R27="","",'C2 Validation Rubrics'!R27)</f>
        <v/>
      </c>
      <c r="G57" s="22" t="str">
        <f>IF('C2 Validation Rubrics'!S27="","",'C2 Validation Rubrics'!S27)</f>
        <v/>
      </c>
      <c r="H57" s="25" t="str">
        <f t="shared" si="66"/>
        <v/>
      </c>
      <c r="I57" s="25" t="str">
        <f t="shared" si="40"/>
        <v/>
      </c>
      <c r="J57" s="21" t="str">
        <f t="shared" si="41"/>
        <v/>
      </c>
      <c r="K57" s="21" t="str">
        <f t="shared" si="67"/>
        <v/>
      </c>
      <c r="L57" s="21" t="str">
        <f t="shared" si="68"/>
        <v/>
      </c>
      <c r="M57" s="21" t="str">
        <f t="shared" si="69"/>
        <v/>
      </c>
      <c r="N57" s="21" t="str">
        <f t="shared" si="70"/>
        <v/>
      </c>
      <c r="O57" s="25" t="str">
        <f>IF('C2 Validation Rubrics'!M27="","",'C2 Validation Rubrics'!M27)</f>
        <v/>
      </c>
      <c r="P57" s="25" t="str">
        <f>IF('C2 Validation Rubrics'!N27="","",'C2 Validation Rubrics'!N27)</f>
        <v/>
      </c>
      <c r="Q57" s="25" t="str">
        <f t="shared" si="44"/>
        <v/>
      </c>
      <c r="R57" s="21" t="str">
        <f>IF('C2 Validation Rubrics'!O27="","",'C2 Validation Rubrics'!O27)</f>
        <v/>
      </c>
    </row>
    <row r="58" spans="1:18" ht="15.75" customHeight="1">
      <c r="A58" s="16" t="s">
        <v>527</v>
      </c>
      <c r="B58" s="16" t="s">
        <v>528</v>
      </c>
      <c r="C58" s="16"/>
      <c r="D58" s="16"/>
      <c r="E58" s="16" t="s">
        <v>1718</v>
      </c>
      <c r="F58" s="16" t="str">
        <f>IF('C2 Validation Rubrics'!R28="","",'C2 Validation Rubrics'!R28)</f>
        <v/>
      </c>
      <c r="G58" s="16" t="str">
        <f>IF('C2 Validation Rubrics'!S28="","",'C2 Validation Rubrics'!S28)</f>
        <v/>
      </c>
      <c r="H58" s="17" t="str">
        <f>IF(COUNT(H59:H61)=0,"",SUM(H59:H61))</f>
        <v/>
      </c>
      <c r="I58" s="17" t="str">
        <f t="shared" si="40"/>
        <v/>
      </c>
      <c r="J58" s="16" t="str">
        <f t="shared" si="41"/>
        <v/>
      </c>
      <c r="K58" s="16">
        <f t="shared" ref="K58:N58" si="71">SUM(K59:K61)</f>
        <v>0</v>
      </c>
      <c r="L58" s="16">
        <f t="shared" si="71"/>
        <v>0</v>
      </c>
      <c r="M58" s="16">
        <f t="shared" si="71"/>
        <v>0</v>
      </c>
      <c r="N58" s="16">
        <f t="shared" si="71"/>
        <v>0</v>
      </c>
      <c r="O58" s="17" t="str">
        <f t="shared" ref="O58:P58" si="72">IF(COUNT(O59:O61)=0,"",SUM(O59:O61))</f>
        <v/>
      </c>
      <c r="P58" s="17" t="str">
        <f t="shared" si="72"/>
        <v/>
      </c>
      <c r="Q58" s="17" t="str">
        <f t="shared" si="44"/>
        <v/>
      </c>
      <c r="R58" s="16"/>
    </row>
    <row r="59" spans="1:18" ht="15.75" customHeight="1">
      <c r="A59" s="21" t="s">
        <v>551</v>
      </c>
      <c r="B59" s="21" t="s">
        <v>552</v>
      </c>
      <c r="C59" s="21" t="s">
        <v>677</v>
      </c>
      <c r="D59" s="21" t="s">
        <v>101</v>
      </c>
      <c r="E59" s="21" t="s">
        <v>1718</v>
      </c>
      <c r="F59" s="22" t="str">
        <f>IF('C2 Validation Rubrics'!R29="","",'C2 Validation Rubrics'!R29)</f>
        <v/>
      </c>
      <c r="G59" s="22" t="str">
        <f>IF('C2 Validation Rubrics'!S29="","",'C2 Validation Rubrics'!S29)</f>
        <v/>
      </c>
      <c r="H59" s="25" t="str">
        <f t="shared" ref="H59:H61" si="73">IF(OR(G59="",F59="",F59=0),"",ROUND(E59*MIN(G59/F59,1),2))</f>
        <v/>
      </c>
      <c r="I59" s="25" t="str">
        <f t="shared" si="40"/>
        <v/>
      </c>
      <c r="J59" s="21" t="str">
        <f t="shared" si="41"/>
        <v/>
      </c>
      <c r="K59" s="21" t="str">
        <f t="shared" ref="K59:K61" si="74">IF($J59="Y",1,"")</f>
        <v/>
      </c>
      <c r="L59" s="21" t="str">
        <f t="shared" ref="L59:L61" si="75">IF($J59="C",1,"")</f>
        <v/>
      </c>
      <c r="M59" s="21" t="str">
        <f t="shared" ref="M59:M61" si="76">IF($J59="W",1,"")</f>
        <v/>
      </c>
      <c r="N59" s="21" t="str">
        <f t="shared" ref="N59:N61" si="77">IF($J59="D",1,"")</f>
        <v/>
      </c>
      <c r="O59" s="25" t="str">
        <f>IF('C2 Validation Rubrics'!M29="","",'C2 Validation Rubrics'!M29)</f>
        <v/>
      </c>
      <c r="P59" s="25" t="str">
        <f>IF('C2 Validation Rubrics'!N29="","",'C2 Validation Rubrics'!N29)</f>
        <v/>
      </c>
      <c r="Q59" s="25" t="str">
        <f t="shared" si="44"/>
        <v/>
      </c>
      <c r="R59" s="21" t="str">
        <f>IF('C2 Validation Rubrics'!O29="","",'C2 Validation Rubrics'!O29)</f>
        <v/>
      </c>
    </row>
    <row r="60" spans="1:18" ht="15.75" customHeight="1">
      <c r="A60" s="21" t="s">
        <v>563</v>
      </c>
      <c r="B60" s="21" t="s">
        <v>564</v>
      </c>
      <c r="C60" s="21" t="s">
        <v>706</v>
      </c>
      <c r="D60" s="21" t="s">
        <v>101</v>
      </c>
      <c r="E60" s="21" t="s">
        <v>1718</v>
      </c>
      <c r="F60" s="22" t="str">
        <f>IF('C2 Validation Rubrics'!R30="","",'C2 Validation Rubrics'!R30)</f>
        <v/>
      </c>
      <c r="G60" s="22" t="str">
        <f>IF('C2 Validation Rubrics'!S30="","",'C2 Validation Rubrics'!S30)</f>
        <v/>
      </c>
      <c r="H60" s="25" t="str">
        <f t="shared" si="73"/>
        <v/>
      </c>
      <c r="I60" s="25" t="str">
        <f t="shared" si="40"/>
        <v/>
      </c>
      <c r="J60" s="21" t="str">
        <f t="shared" si="41"/>
        <v/>
      </c>
      <c r="K60" s="21" t="str">
        <f t="shared" si="74"/>
        <v/>
      </c>
      <c r="L60" s="21" t="str">
        <f t="shared" si="75"/>
        <v/>
      </c>
      <c r="M60" s="21" t="str">
        <f t="shared" si="76"/>
        <v/>
      </c>
      <c r="N60" s="21" t="str">
        <f t="shared" si="77"/>
        <v/>
      </c>
      <c r="O60" s="25" t="str">
        <f>IF('C2 Validation Rubrics'!M30="","",'C2 Validation Rubrics'!M30)</f>
        <v/>
      </c>
      <c r="P60" s="25" t="str">
        <f>IF('C2 Validation Rubrics'!N30="","",'C2 Validation Rubrics'!N30)</f>
        <v/>
      </c>
      <c r="Q60" s="25" t="str">
        <f t="shared" si="44"/>
        <v/>
      </c>
      <c r="R60" s="21" t="str">
        <f>IF('C2 Validation Rubrics'!O30="","",'C2 Validation Rubrics'!O30)</f>
        <v/>
      </c>
    </row>
    <row r="61" spans="1:18" ht="15.75" customHeight="1">
      <c r="A61" s="21" t="s">
        <v>572</v>
      </c>
      <c r="B61" s="21" t="s">
        <v>573</v>
      </c>
      <c r="C61" s="21" t="s">
        <v>724</v>
      </c>
      <c r="D61" s="21" t="s">
        <v>263</v>
      </c>
      <c r="E61" s="21" t="s">
        <v>1718</v>
      </c>
      <c r="F61" s="22" t="str">
        <f>IF('C2 Validation Rubrics'!R31="","",'C2 Validation Rubrics'!R31)</f>
        <v/>
      </c>
      <c r="G61" s="22" t="str">
        <f>IF('C2 Validation Rubrics'!S31="","",'C2 Validation Rubrics'!S31)</f>
        <v/>
      </c>
      <c r="H61" s="25" t="str">
        <f t="shared" si="73"/>
        <v/>
      </c>
      <c r="I61" s="25" t="str">
        <f t="shared" si="40"/>
        <v/>
      </c>
      <c r="J61" s="21" t="str">
        <f t="shared" si="41"/>
        <v/>
      </c>
      <c r="K61" s="21" t="str">
        <f t="shared" si="74"/>
        <v/>
      </c>
      <c r="L61" s="21" t="str">
        <f t="shared" si="75"/>
        <v/>
      </c>
      <c r="M61" s="21" t="str">
        <f t="shared" si="76"/>
        <v/>
      </c>
      <c r="N61" s="21" t="str">
        <f t="shared" si="77"/>
        <v/>
      </c>
      <c r="O61" s="25" t="str">
        <f>IF('C2 Validation Rubrics'!M31="","",'C2 Validation Rubrics'!M31)</f>
        <v/>
      </c>
      <c r="P61" s="25" t="str">
        <f>IF('C2 Validation Rubrics'!N31="","",'C2 Validation Rubrics'!N31)</f>
        <v/>
      </c>
      <c r="Q61" s="25" t="str">
        <f t="shared" si="44"/>
        <v/>
      </c>
      <c r="R61" s="21" t="str">
        <f>IF('C2 Validation Rubrics'!O31="","",'C2 Validation Rubrics'!O31)</f>
        <v/>
      </c>
    </row>
    <row r="62" spans="1:18" ht="15.75" customHeight="1">
      <c r="A62" s="16" t="s">
        <v>538</v>
      </c>
      <c r="B62" s="16" t="s">
        <v>580</v>
      </c>
      <c r="C62" s="16"/>
      <c r="D62" s="16"/>
      <c r="E62" s="16" t="s">
        <v>1718</v>
      </c>
      <c r="F62" s="16" t="str">
        <f>IF('C2 Validation Rubrics'!R32="","",'C2 Validation Rubrics'!R32)</f>
        <v/>
      </c>
      <c r="G62" s="16" t="str">
        <f>IF('C2 Validation Rubrics'!S32="","",'C2 Validation Rubrics'!S32)</f>
        <v/>
      </c>
      <c r="H62" s="17" t="str">
        <f>IF(COUNT(H63:H65)=0,"",SUM(H63:H65))</f>
        <v/>
      </c>
      <c r="I62" s="17" t="str">
        <f t="shared" si="40"/>
        <v/>
      </c>
      <c r="J62" s="16" t="str">
        <f t="shared" si="41"/>
        <v/>
      </c>
      <c r="K62" s="16">
        <f t="shared" ref="K62:N62" si="78">SUM(K63:K65)</f>
        <v>0</v>
      </c>
      <c r="L62" s="16">
        <f t="shared" si="78"/>
        <v>0</v>
      </c>
      <c r="M62" s="16">
        <f t="shared" si="78"/>
        <v>0</v>
      </c>
      <c r="N62" s="16">
        <f t="shared" si="78"/>
        <v>0</v>
      </c>
      <c r="O62" s="17" t="str">
        <f t="shared" ref="O62:P62" si="79">IF(COUNT(O63:O65)=0,"",SUM(O63:O65))</f>
        <v/>
      </c>
      <c r="P62" s="17" t="str">
        <f t="shared" si="79"/>
        <v/>
      </c>
      <c r="Q62" s="17" t="str">
        <f t="shared" si="44"/>
        <v/>
      </c>
      <c r="R62" s="16"/>
    </row>
    <row r="63" spans="1:18" ht="15.75" customHeight="1">
      <c r="A63" s="21" t="s">
        <v>592</v>
      </c>
      <c r="B63" s="21" t="s">
        <v>593</v>
      </c>
      <c r="C63" s="21" t="s">
        <v>763</v>
      </c>
      <c r="D63" s="21" t="s">
        <v>101</v>
      </c>
      <c r="E63" s="21" t="s">
        <v>1718</v>
      </c>
      <c r="F63" s="22" t="str">
        <f>IF('C2 Validation Rubrics'!R33="","",'C2 Validation Rubrics'!R33)</f>
        <v/>
      </c>
      <c r="G63" s="22" t="str">
        <f>IF('C2 Validation Rubrics'!S33="","",'C2 Validation Rubrics'!S33)</f>
        <v/>
      </c>
      <c r="H63" s="25" t="str">
        <f t="shared" ref="H63:H65" si="80">IF(OR(G63="",F63="",F63=0),"",ROUND(E63*MIN(G63/F63,1),2))</f>
        <v/>
      </c>
      <c r="I63" s="25" t="str">
        <f t="shared" si="40"/>
        <v/>
      </c>
      <c r="J63" s="21" t="str">
        <f t="shared" si="41"/>
        <v/>
      </c>
      <c r="K63" s="21" t="str">
        <f t="shared" ref="K63:K65" si="81">IF($J63="Y",1,"")</f>
        <v/>
      </c>
      <c r="L63" s="21" t="str">
        <f t="shared" ref="L63:L65" si="82">IF($J63="C",1,"")</f>
        <v/>
      </c>
      <c r="M63" s="21" t="str">
        <f t="shared" ref="M63:M65" si="83">IF($J63="W",1,"")</f>
        <v/>
      </c>
      <c r="N63" s="21" t="str">
        <f t="shared" ref="N63:N65" si="84">IF($J63="D",1,"")</f>
        <v/>
      </c>
      <c r="O63" s="25" t="str">
        <f>IF('C2 Validation Rubrics'!M33="","",'C2 Validation Rubrics'!M33)</f>
        <v/>
      </c>
      <c r="P63" s="25" t="str">
        <f>IF('C2 Validation Rubrics'!N33="","",'C2 Validation Rubrics'!N33)</f>
        <v/>
      </c>
      <c r="Q63" s="25" t="str">
        <f t="shared" si="44"/>
        <v/>
      </c>
      <c r="R63" s="21" t="str">
        <f>IF('C2 Validation Rubrics'!O33="","",'C2 Validation Rubrics'!O33)</f>
        <v/>
      </c>
    </row>
    <row r="64" spans="1:18" ht="15.75" customHeight="1">
      <c r="A64" s="21" t="s">
        <v>609</v>
      </c>
      <c r="B64" s="21" t="s">
        <v>610</v>
      </c>
      <c r="C64" s="21" t="s">
        <v>772</v>
      </c>
      <c r="D64" s="21" t="s">
        <v>101</v>
      </c>
      <c r="E64" s="21" t="s">
        <v>1718</v>
      </c>
      <c r="F64" s="22" t="str">
        <f>IF('C2 Validation Rubrics'!R34="","",'C2 Validation Rubrics'!R34)</f>
        <v/>
      </c>
      <c r="G64" s="22" t="str">
        <f>IF('C2 Validation Rubrics'!S34="","",'C2 Validation Rubrics'!S34)</f>
        <v/>
      </c>
      <c r="H64" s="25" t="str">
        <f t="shared" si="80"/>
        <v/>
      </c>
      <c r="I64" s="25" t="str">
        <f t="shared" si="40"/>
        <v/>
      </c>
      <c r="J64" s="21" t="str">
        <f t="shared" si="41"/>
        <v/>
      </c>
      <c r="K64" s="21" t="str">
        <f t="shared" si="81"/>
        <v/>
      </c>
      <c r="L64" s="21" t="str">
        <f t="shared" si="82"/>
        <v/>
      </c>
      <c r="M64" s="21" t="str">
        <f t="shared" si="83"/>
        <v/>
      </c>
      <c r="N64" s="21" t="str">
        <f t="shared" si="84"/>
        <v/>
      </c>
      <c r="O64" s="25" t="str">
        <f>IF('C2 Validation Rubrics'!M34="","",'C2 Validation Rubrics'!M34)</f>
        <v/>
      </c>
      <c r="P64" s="25" t="str">
        <f>IF('C2 Validation Rubrics'!N34="","",'C2 Validation Rubrics'!N34)</f>
        <v/>
      </c>
      <c r="Q64" s="25" t="str">
        <f t="shared" si="44"/>
        <v/>
      </c>
      <c r="R64" s="21" t="str">
        <f>IF('C2 Validation Rubrics'!O34="","",'C2 Validation Rubrics'!O34)</f>
        <v/>
      </c>
    </row>
    <row r="65" spans="1:18" ht="15.75" customHeight="1">
      <c r="A65" s="21" t="s">
        <v>625</v>
      </c>
      <c r="B65" s="21" t="s">
        <v>626</v>
      </c>
      <c r="C65" s="21" t="s">
        <v>782</v>
      </c>
      <c r="D65" s="21" t="s">
        <v>101</v>
      </c>
      <c r="E65" s="21" t="s">
        <v>1718</v>
      </c>
      <c r="F65" s="22" t="str">
        <f>IF('C2 Validation Rubrics'!R35="","",'C2 Validation Rubrics'!R35)</f>
        <v/>
      </c>
      <c r="G65" s="22" t="str">
        <f>IF('C2 Validation Rubrics'!S35="","",'C2 Validation Rubrics'!S35)</f>
        <v/>
      </c>
      <c r="H65" s="25" t="str">
        <f t="shared" si="80"/>
        <v/>
      </c>
      <c r="I65" s="25" t="str">
        <f t="shared" si="40"/>
        <v/>
      </c>
      <c r="J65" s="21" t="str">
        <f t="shared" si="41"/>
        <v/>
      </c>
      <c r="K65" s="21" t="str">
        <f t="shared" si="81"/>
        <v/>
      </c>
      <c r="L65" s="21" t="str">
        <f t="shared" si="82"/>
        <v/>
      </c>
      <c r="M65" s="21" t="str">
        <f t="shared" si="83"/>
        <v/>
      </c>
      <c r="N65" s="21" t="str">
        <f t="shared" si="84"/>
        <v/>
      </c>
      <c r="O65" s="25" t="str">
        <f>IF('C2 Validation Rubrics'!M35="","",'C2 Validation Rubrics'!M35)</f>
        <v/>
      </c>
      <c r="P65" s="25" t="str">
        <f>IF('C2 Validation Rubrics'!N35="","",'C2 Validation Rubrics'!N35)</f>
        <v/>
      </c>
      <c r="Q65" s="25" t="str">
        <f t="shared" si="44"/>
        <v/>
      </c>
      <c r="R65" s="21" t="str">
        <f>IF('C2 Validation Rubrics'!O35="","",'C2 Validation Rubrics'!O35)</f>
        <v/>
      </c>
    </row>
    <row r="66" spans="1:18" ht="15.75" customHeight="1">
      <c r="A66" s="16" t="s">
        <v>550</v>
      </c>
      <c r="B66" s="16" t="s">
        <v>634</v>
      </c>
      <c r="C66" s="16"/>
      <c r="D66" s="16"/>
      <c r="E66" s="16" t="s">
        <v>1718</v>
      </c>
      <c r="F66" s="16" t="str">
        <f>IF('C2 Validation Rubrics'!R36="","",'C2 Validation Rubrics'!R36)</f>
        <v/>
      </c>
      <c r="G66" s="16" t="str">
        <f>IF('C2 Validation Rubrics'!S36="","",'C2 Validation Rubrics'!S36)</f>
        <v/>
      </c>
      <c r="H66" s="17" t="str">
        <f>IF(COUNT(H67:H70)=0,"",SUM(H67:H70))</f>
        <v/>
      </c>
      <c r="I66" s="17" t="str">
        <f t="shared" si="40"/>
        <v/>
      </c>
      <c r="J66" s="16" t="str">
        <f t="shared" si="41"/>
        <v/>
      </c>
      <c r="K66" s="16">
        <f t="shared" ref="K66:N66" si="85">SUM(K67:K70)</f>
        <v>0</v>
      </c>
      <c r="L66" s="16">
        <f t="shared" si="85"/>
        <v>0</v>
      </c>
      <c r="M66" s="16">
        <f t="shared" si="85"/>
        <v>0</v>
      </c>
      <c r="N66" s="16">
        <f t="shared" si="85"/>
        <v>0</v>
      </c>
      <c r="O66" s="17" t="str">
        <f t="shared" ref="O66:P66" si="86">IF(COUNT(O67:O70)=0,"",SUM(O67:O70))</f>
        <v/>
      </c>
      <c r="P66" s="17" t="str">
        <f t="shared" si="86"/>
        <v/>
      </c>
      <c r="Q66" s="17" t="str">
        <f t="shared" si="44"/>
        <v/>
      </c>
      <c r="R66" s="16"/>
    </row>
    <row r="67" spans="1:18" ht="15.75" customHeight="1">
      <c r="A67" s="21" t="s">
        <v>640</v>
      </c>
      <c r="B67" s="21" t="s">
        <v>642</v>
      </c>
      <c r="C67" s="21" t="s">
        <v>798</v>
      </c>
      <c r="D67" s="21" t="s">
        <v>101</v>
      </c>
      <c r="E67" s="21" t="s">
        <v>1718</v>
      </c>
      <c r="F67" s="22" t="str">
        <f>IF('C2 Validation Rubrics'!R37="","",'C2 Validation Rubrics'!R37)</f>
        <v/>
      </c>
      <c r="G67" s="22" t="str">
        <f>IF('C2 Validation Rubrics'!S37="","",'C2 Validation Rubrics'!S37)</f>
        <v/>
      </c>
      <c r="H67" s="25" t="str">
        <f t="shared" ref="H67:H70" si="87">IF(OR(G67="",F67="",F67=0),"",ROUND(E67*MIN(G67/F67,1),2))</f>
        <v/>
      </c>
      <c r="I67" s="25" t="str">
        <f t="shared" si="40"/>
        <v/>
      </c>
      <c r="J67" s="21" t="str">
        <f t="shared" si="41"/>
        <v/>
      </c>
      <c r="K67" s="21" t="str">
        <f t="shared" ref="K67:K70" si="88">IF($J67="Y",1,"")</f>
        <v/>
      </c>
      <c r="L67" s="21" t="str">
        <f t="shared" ref="L67:L70" si="89">IF($J67="C",1,"")</f>
        <v/>
      </c>
      <c r="M67" s="21" t="str">
        <f t="shared" ref="M67:M70" si="90">IF($J67="W",1,"")</f>
        <v/>
      </c>
      <c r="N67" s="21" t="str">
        <f t="shared" ref="N67:N70" si="91">IF($J67="D",1,"")</f>
        <v/>
      </c>
      <c r="O67" s="25" t="str">
        <f>IF('C2 Validation Rubrics'!M37="","",'C2 Validation Rubrics'!M37)</f>
        <v/>
      </c>
      <c r="P67" s="25" t="str">
        <f>IF('C2 Validation Rubrics'!N37="","",'C2 Validation Rubrics'!N37)</f>
        <v/>
      </c>
      <c r="Q67" s="25" t="str">
        <f t="shared" si="44"/>
        <v/>
      </c>
      <c r="R67" s="21" t="str">
        <f>IF('C2 Validation Rubrics'!O37="","",'C2 Validation Rubrics'!O37)</f>
        <v/>
      </c>
    </row>
    <row r="68" spans="1:18" ht="15.75" customHeight="1">
      <c r="A68" s="21" t="s">
        <v>661</v>
      </c>
      <c r="B68" s="21" t="s">
        <v>662</v>
      </c>
      <c r="C68" s="21" t="s">
        <v>812</v>
      </c>
      <c r="D68" s="21" t="s">
        <v>101</v>
      </c>
      <c r="E68" s="21" t="s">
        <v>1718</v>
      </c>
      <c r="F68" s="22" t="str">
        <f>IF('C2 Validation Rubrics'!R38="","",'C2 Validation Rubrics'!R38)</f>
        <v/>
      </c>
      <c r="G68" s="22" t="str">
        <f>IF('C2 Validation Rubrics'!S38="","",'C2 Validation Rubrics'!S38)</f>
        <v/>
      </c>
      <c r="H68" s="25" t="str">
        <f t="shared" si="87"/>
        <v/>
      </c>
      <c r="I68" s="25" t="str">
        <f t="shared" si="40"/>
        <v/>
      </c>
      <c r="J68" s="21" t="str">
        <f t="shared" si="41"/>
        <v/>
      </c>
      <c r="K68" s="21" t="str">
        <f t="shared" si="88"/>
        <v/>
      </c>
      <c r="L68" s="21" t="str">
        <f t="shared" si="89"/>
        <v/>
      </c>
      <c r="M68" s="21" t="str">
        <f t="shared" si="90"/>
        <v/>
      </c>
      <c r="N68" s="21" t="str">
        <f t="shared" si="91"/>
        <v/>
      </c>
      <c r="O68" s="25" t="str">
        <f>IF('C2 Validation Rubrics'!M38="","",'C2 Validation Rubrics'!M38)</f>
        <v/>
      </c>
      <c r="P68" s="25" t="str">
        <f>IF('C2 Validation Rubrics'!N38="","",'C2 Validation Rubrics'!N38)</f>
        <v/>
      </c>
      <c r="Q68" s="25" t="str">
        <f t="shared" si="44"/>
        <v/>
      </c>
      <c r="R68" s="21" t="str">
        <f>IF('C2 Validation Rubrics'!O38="","",'C2 Validation Rubrics'!O38)</f>
        <v/>
      </c>
    </row>
    <row r="69" spans="1:18" ht="15.75" customHeight="1">
      <c r="A69" s="21" t="s">
        <v>669</v>
      </c>
      <c r="B69" s="21" t="s">
        <v>670</v>
      </c>
      <c r="C69" s="21" t="s">
        <v>815</v>
      </c>
      <c r="D69" s="21" t="s">
        <v>101</v>
      </c>
      <c r="E69" s="21" t="s">
        <v>1718</v>
      </c>
      <c r="F69" s="22" t="str">
        <f>IF('C2 Validation Rubrics'!R39="","",'C2 Validation Rubrics'!R39)</f>
        <v/>
      </c>
      <c r="G69" s="22" t="str">
        <f>IF('C2 Validation Rubrics'!S39="","",'C2 Validation Rubrics'!S39)</f>
        <v/>
      </c>
      <c r="H69" s="25" t="str">
        <f t="shared" si="87"/>
        <v/>
      </c>
      <c r="I69" s="25" t="str">
        <f t="shared" si="40"/>
        <v/>
      </c>
      <c r="J69" s="21" t="str">
        <f t="shared" si="41"/>
        <v/>
      </c>
      <c r="K69" s="21" t="str">
        <f t="shared" si="88"/>
        <v/>
      </c>
      <c r="L69" s="21" t="str">
        <f t="shared" si="89"/>
        <v/>
      </c>
      <c r="M69" s="21" t="str">
        <f t="shared" si="90"/>
        <v/>
      </c>
      <c r="N69" s="21" t="str">
        <f t="shared" si="91"/>
        <v/>
      </c>
      <c r="O69" s="25" t="str">
        <f>IF('C2 Validation Rubrics'!M39="","",'C2 Validation Rubrics'!M39)</f>
        <v/>
      </c>
      <c r="P69" s="25" t="str">
        <f>IF('C2 Validation Rubrics'!N39="","",'C2 Validation Rubrics'!N39)</f>
        <v/>
      </c>
      <c r="Q69" s="25" t="str">
        <f t="shared" si="44"/>
        <v/>
      </c>
      <c r="R69" s="21" t="str">
        <f>IF('C2 Validation Rubrics'!O39="","",'C2 Validation Rubrics'!O39)</f>
        <v/>
      </c>
    </row>
    <row r="70" spans="1:18" ht="15.75" customHeight="1">
      <c r="A70" s="21" t="s">
        <v>678</v>
      </c>
      <c r="B70" s="21" t="s">
        <v>679</v>
      </c>
      <c r="C70" s="21" t="s">
        <v>824</v>
      </c>
      <c r="D70" s="21" t="s">
        <v>101</v>
      </c>
      <c r="E70" s="21" t="s">
        <v>1718</v>
      </c>
      <c r="F70" s="22" t="str">
        <f>IF('C2 Validation Rubrics'!R40="","",'C2 Validation Rubrics'!R40)</f>
        <v/>
      </c>
      <c r="G70" s="22" t="str">
        <f>IF('C2 Validation Rubrics'!S40="","",'C2 Validation Rubrics'!S40)</f>
        <v/>
      </c>
      <c r="H70" s="25" t="str">
        <f t="shared" si="87"/>
        <v/>
      </c>
      <c r="I70" s="25" t="str">
        <f t="shared" si="40"/>
        <v/>
      </c>
      <c r="J70" s="21" t="str">
        <f t="shared" si="41"/>
        <v/>
      </c>
      <c r="K70" s="21" t="str">
        <f t="shared" si="88"/>
        <v/>
      </c>
      <c r="L70" s="21" t="str">
        <f t="shared" si="89"/>
        <v/>
      </c>
      <c r="M70" s="21" t="str">
        <f t="shared" si="90"/>
        <v/>
      </c>
      <c r="N70" s="21" t="str">
        <f t="shared" si="91"/>
        <v/>
      </c>
      <c r="O70" s="25" t="str">
        <f>IF('C2 Validation Rubrics'!M40="","",'C2 Validation Rubrics'!M40)</f>
        <v/>
      </c>
      <c r="P70" s="25" t="str">
        <f>IF('C2 Validation Rubrics'!N40="","",'C2 Validation Rubrics'!N40)</f>
        <v/>
      </c>
      <c r="Q70" s="25" t="str">
        <f t="shared" si="44"/>
        <v/>
      </c>
      <c r="R70" s="21" t="str">
        <f>IF('C2 Validation Rubrics'!O40="","",'C2 Validation Rubrics'!O40)</f>
        <v/>
      </c>
    </row>
    <row r="71" spans="1:18" ht="15.75" customHeight="1">
      <c r="A71" s="16" t="s">
        <v>561</v>
      </c>
      <c r="B71" s="16" t="s">
        <v>694</v>
      </c>
      <c r="C71" s="16"/>
      <c r="D71" s="16"/>
      <c r="E71" s="16" t="s">
        <v>1718</v>
      </c>
      <c r="F71" s="16" t="str">
        <f>IF('C2 Validation Rubrics'!R41="","",'C2 Validation Rubrics'!R41)</f>
        <v/>
      </c>
      <c r="G71" s="16" t="str">
        <f>IF('C2 Validation Rubrics'!S41="","",'C2 Validation Rubrics'!S41)</f>
        <v/>
      </c>
      <c r="H71" s="17" t="str">
        <f>IF(COUNT(H72:H76)=0,"",SUM(H72:H76))</f>
        <v/>
      </c>
      <c r="I71" s="17" t="str">
        <f t="shared" si="40"/>
        <v/>
      </c>
      <c r="J71" s="16" t="str">
        <f t="shared" si="41"/>
        <v/>
      </c>
      <c r="K71" s="16">
        <f t="shared" ref="K71:N71" si="92">SUM(K72:K76)</f>
        <v>0</v>
      </c>
      <c r="L71" s="16">
        <f t="shared" si="92"/>
        <v>0</v>
      </c>
      <c r="M71" s="16">
        <f t="shared" si="92"/>
        <v>0</v>
      </c>
      <c r="N71" s="16">
        <f t="shared" si="92"/>
        <v>0</v>
      </c>
      <c r="O71" s="17" t="str">
        <f t="shared" ref="O71:P71" si="93">IF(COUNT(O72:O76)=0,"",SUM(O72:O76))</f>
        <v/>
      </c>
      <c r="P71" s="17" t="str">
        <f t="shared" si="93"/>
        <v/>
      </c>
      <c r="Q71" s="17" t="str">
        <f t="shared" si="44"/>
        <v/>
      </c>
      <c r="R71" s="16"/>
    </row>
    <row r="72" spans="1:18" ht="15.75" customHeight="1">
      <c r="A72" s="21" t="s">
        <v>697</v>
      </c>
      <c r="B72" s="21" t="s">
        <v>698</v>
      </c>
      <c r="C72" s="21" t="s">
        <v>842</v>
      </c>
      <c r="D72" s="21" t="s">
        <v>263</v>
      </c>
      <c r="E72" s="21" t="s">
        <v>1718</v>
      </c>
      <c r="F72" s="22" t="str">
        <f>IF('C2 Validation Rubrics'!R42="","",'C2 Validation Rubrics'!R42)</f>
        <v/>
      </c>
      <c r="G72" s="22" t="str">
        <f>IF('C2 Validation Rubrics'!S42="","",'C2 Validation Rubrics'!S42)</f>
        <v/>
      </c>
      <c r="H72" s="25" t="str">
        <f t="shared" ref="H72:H76" si="94">IF(OR(G72="",F72="",F72=0),"",ROUND(E72*MIN(G72/F72,1),2))</f>
        <v/>
      </c>
      <c r="I72" s="25" t="str">
        <f t="shared" si="40"/>
        <v/>
      </c>
      <c r="J72" s="21" t="str">
        <f t="shared" si="41"/>
        <v/>
      </c>
      <c r="K72" s="21" t="str">
        <f t="shared" ref="K72:K76" si="95">IF($J72="Y",1,"")</f>
        <v/>
      </c>
      <c r="L72" s="21" t="str">
        <f t="shared" ref="L72:L76" si="96">IF($J72="C",1,"")</f>
        <v/>
      </c>
      <c r="M72" s="21" t="str">
        <f t="shared" ref="M72:M76" si="97">IF($J72="W",1,"")</f>
        <v/>
      </c>
      <c r="N72" s="21" t="str">
        <f t="shared" ref="N72:N76" si="98">IF($J72="D",1,"")</f>
        <v/>
      </c>
      <c r="O72" s="25" t="str">
        <f>IF('C2 Validation Rubrics'!M42="","",'C2 Validation Rubrics'!M42)</f>
        <v/>
      </c>
      <c r="P72" s="25" t="str">
        <f>IF('C2 Validation Rubrics'!N42="","",'C2 Validation Rubrics'!N42)</f>
        <v/>
      </c>
      <c r="Q72" s="25" t="str">
        <f t="shared" si="44"/>
        <v/>
      </c>
      <c r="R72" s="21" t="str">
        <f>IF('C2 Validation Rubrics'!O42="","",'C2 Validation Rubrics'!O42)</f>
        <v/>
      </c>
    </row>
    <row r="73" spans="1:18" ht="15.75" customHeight="1">
      <c r="A73" s="21" t="s">
        <v>725</v>
      </c>
      <c r="B73" s="21" t="s">
        <v>726</v>
      </c>
      <c r="C73" s="21" t="s">
        <v>853</v>
      </c>
      <c r="D73" s="21" t="s">
        <v>263</v>
      </c>
      <c r="E73" s="21" t="s">
        <v>1718</v>
      </c>
      <c r="F73" s="22" t="str">
        <f>IF('C2 Validation Rubrics'!R43="","",'C2 Validation Rubrics'!R43)</f>
        <v/>
      </c>
      <c r="G73" s="22" t="str">
        <f>IF('C2 Validation Rubrics'!S43="","",'C2 Validation Rubrics'!S43)</f>
        <v/>
      </c>
      <c r="H73" s="25" t="str">
        <f t="shared" si="94"/>
        <v/>
      </c>
      <c r="I73" s="25" t="str">
        <f t="shared" si="40"/>
        <v/>
      </c>
      <c r="J73" s="21" t="str">
        <f t="shared" si="41"/>
        <v/>
      </c>
      <c r="K73" s="21" t="str">
        <f t="shared" si="95"/>
        <v/>
      </c>
      <c r="L73" s="21" t="str">
        <f t="shared" si="96"/>
        <v/>
      </c>
      <c r="M73" s="21" t="str">
        <f t="shared" si="97"/>
        <v/>
      </c>
      <c r="N73" s="21" t="str">
        <f t="shared" si="98"/>
        <v/>
      </c>
      <c r="O73" s="25" t="str">
        <f>IF('C2 Validation Rubrics'!M43="","",'C2 Validation Rubrics'!M43)</f>
        <v/>
      </c>
      <c r="P73" s="25" t="str">
        <f>IF('C2 Validation Rubrics'!N43="","",'C2 Validation Rubrics'!N43)</f>
        <v/>
      </c>
      <c r="Q73" s="25" t="str">
        <f t="shared" si="44"/>
        <v/>
      </c>
      <c r="R73" s="21" t="str">
        <f>IF('C2 Validation Rubrics'!O43="","",'C2 Validation Rubrics'!O43)</f>
        <v/>
      </c>
    </row>
    <row r="74" spans="1:18" ht="15.75" customHeight="1">
      <c r="A74" s="21" t="s">
        <v>732</v>
      </c>
      <c r="B74" s="21" t="s">
        <v>733</v>
      </c>
      <c r="C74" s="21" t="s">
        <v>856</v>
      </c>
      <c r="D74" s="21" t="s">
        <v>101</v>
      </c>
      <c r="E74" s="21" t="s">
        <v>1718</v>
      </c>
      <c r="F74" s="22" t="str">
        <f>IF('C2 Validation Rubrics'!R44="","",'C2 Validation Rubrics'!R44)</f>
        <v/>
      </c>
      <c r="G74" s="22" t="str">
        <f>IF('C2 Validation Rubrics'!S44="","",'C2 Validation Rubrics'!S44)</f>
        <v/>
      </c>
      <c r="H74" s="25" t="str">
        <f t="shared" si="94"/>
        <v/>
      </c>
      <c r="I74" s="25" t="str">
        <f t="shared" si="40"/>
        <v/>
      </c>
      <c r="J74" s="21" t="str">
        <f t="shared" si="41"/>
        <v/>
      </c>
      <c r="K74" s="21" t="str">
        <f t="shared" si="95"/>
        <v/>
      </c>
      <c r="L74" s="21" t="str">
        <f t="shared" si="96"/>
        <v/>
      </c>
      <c r="M74" s="21" t="str">
        <f t="shared" si="97"/>
        <v/>
      </c>
      <c r="N74" s="21" t="str">
        <f t="shared" si="98"/>
        <v/>
      </c>
      <c r="O74" s="25" t="str">
        <f>IF('C2 Validation Rubrics'!M44="","",'C2 Validation Rubrics'!M44)</f>
        <v/>
      </c>
      <c r="P74" s="25" t="str">
        <f>IF('C2 Validation Rubrics'!N44="","",'C2 Validation Rubrics'!N44)</f>
        <v/>
      </c>
      <c r="Q74" s="25" t="str">
        <f t="shared" si="44"/>
        <v/>
      </c>
      <c r="R74" s="21" t="str">
        <f>IF('C2 Validation Rubrics'!O44="","",'C2 Validation Rubrics'!O44)</f>
        <v/>
      </c>
    </row>
    <row r="75" spans="1:18" ht="15.75" customHeight="1">
      <c r="A75" s="21" t="s">
        <v>740</v>
      </c>
      <c r="B75" s="21" t="s">
        <v>741</v>
      </c>
      <c r="C75" s="21" t="s">
        <v>857</v>
      </c>
      <c r="D75" s="21" t="s">
        <v>263</v>
      </c>
      <c r="E75" s="21" t="s">
        <v>1718</v>
      </c>
      <c r="F75" s="22" t="str">
        <f>IF('C2 Validation Rubrics'!R45="","",'C2 Validation Rubrics'!R45)</f>
        <v/>
      </c>
      <c r="G75" s="22" t="str">
        <f>IF('C2 Validation Rubrics'!S45="","",'C2 Validation Rubrics'!S45)</f>
        <v/>
      </c>
      <c r="H75" s="25" t="str">
        <f t="shared" si="94"/>
        <v/>
      </c>
      <c r="I75" s="25" t="str">
        <f t="shared" si="40"/>
        <v/>
      </c>
      <c r="J75" s="21" t="str">
        <f t="shared" si="41"/>
        <v/>
      </c>
      <c r="K75" s="21" t="str">
        <f t="shared" si="95"/>
        <v/>
      </c>
      <c r="L75" s="21" t="str">
        <f t="shared" si="96"/>
        <v/>
      </c>
      <c r="M75" s="21" t="str">
        <f t="shared" si="97"/>
        <v/>
      </c>
      <c r="N75" s="21" t="str">
        <f t="shared" si="98"/>
        <v/>
      </c>
      <c r="O75" s="25" t="str">
        <f>IF('C2 Validation Rubrics'!M45="","",'C2 Validation Rubrics'!M45)</f>
        <v/>
      </c>
      <c r="P75" s="25" t="str">
        <f>IF('C2 Validation Rubrics'!N45="","",'C2 Validation Rubrics'!N45)</f>
        <v/>
      </c>
      <c r="Q75" s="25" t="str">
        <f t="shared" si="44"/>
        <v/>
      </c>
      <c r="R75" s="21" t="str">
        <f>IF('C2 Validation Rubrics'!O45="","",'C2 Validation Rubrics'!O45)</f>
        <v/>
      </c>
    </row>
    <row r="76" spans="1:18" ht="15.75" customHeight="1">
      <c r="A76" s="21" t="s">
        <v>753</v>
      </c>
      <c r="B76" s="21" t="s">
        <v>754</v>
      </c>
      <c r="C76" s="21" t="s">
        <v>861</v>
      </c>
      <c r="D76" s="21" t="s">
        <v>263</v>
      </c>
      <c r="E76" s="21" t="s">
        <v>1718</v>
      </c>
      <c r="F76" s="22" t="str">
        <f>IF('C2 Validation Rubrics'!R46="","",'C2 Validation Rubrics'!R46)</f>
        <v/>
      </c>
      <c r="G76" s="22" t="str">
        <f>IF('C2 Validation Rubrics'!S46="","",'C2 Validation Rubrics'!S46)</f>
        <v/>
      </c>
      <c r="H76" s="25" t="str">
        <f t="shared" si="94"/>
        <v/>
      </c>
      <c r="I76" s="25" t="str">
        <f t="shared" si="40"/>
        <v/>
      </c>
      <c r="J76" s="21" t="str">
        <f t="shared" si="41"/>
        <v/>
      </c>
      <c r="K76" s="21" t="str">
        <f t="shared" si="95"/>
        <v/>
      </c>
      <c r="L76" s="21" t="str">
        <f t="shared" si="96"/>
        <v/>
      </c>
      <c r="M76" s="21" t="str">
        <f t="shared" si="97"/>
        <v/>
      </c>
      <c r="N76" s="21" t="str">
        <f t="shared" si="98"/>
        <v/>
      </c>
      <c r="O76" s="25" t="str">
        <f>IF('C2 Validation Rubrics'!M46="","",'C2 Validation Rubrics'!M46)</f>
        <v/>
      </c>
      <c r="P76" s="25" t="str">
        <f>IF('C2 Validation Rubrics'!N46="","",'C2 Validation Rubrics'!N46)</f>
        <v/>
      </c>
      <c r="Q76" s="25" t="str">
        <f t="shared" si="44"/>
        <v/>
      </c>
      <c r="R76" s="21" t="str">
        <f>IF('C2 Validation Rubrics'!O46="","",'C2 Validation Rubrics'!O46)</f>
        <v/>
      </c>
    </row>
    <row r="77" spans="1:18" ht="15.75" customHeight="1">
      <c r="A77" s="23" t="s">
        <v>65</v>
      </c>
      <c r="B77" s="23" t="s">
        <v>867</v>
      </c>
      <c r="C77" s="23"/>
      <c r="D77" s="23"/>
      <c r="E77" s="23" t="s">
        <v>1718</v>
      </c>
      <c r="F77" s="23" t="str">
        <f>IF('C2 Validation Rubrics'!R47="","",'C2 Validation Rubrics'!R47)</f>
        <v/>
      </c>
      <c r="G77" s="23" t="str">
        <f>IF('C2 Validation Rubrics'!S47="","",'C2 Validation Rubrics'!S47)</f>
        <v/>
      </c>
      <c r="H77" s="35" t="str">
        <f>IF(COUNT(H38,H44,H50,H54,H58,H62,H66,H71)=0,"",N(H38)+N(H44)+N(H50)+N(H54)+N(H58)+N(H62)+N(H66)+N(H71))</f>
        <v/>
      </c>
      <c r="I77" s="35" t="str">
        <f t="shared" si="40"/>
        <v/>
      </c>
      <c r="J77" s="23" t="str">
        <f t="shared" si="41"/>
        <v/>
      </c>
      <c r="K77" s="23" t="e">
        <f t="shared" ref="K77:N77" si="99">N(K38)+N(K44)+N(K50)+N(K54)+N(K58)+N(K62)+N(K66)+N(K71)</f>
        <v>#VALUE!</v>
      </c>
      <c r="L77" s="23" t="e">
        <f t="shared" si="99"/>
        <v>#VALUE!</v>
      </c>
      <c r="M77" s="23" t="e">
        <f t="shared" si="99"/>
        <v>#VALUE!</v>
      </c>
      <c r="N77" s="23" t="e">
        <f t="shared" si="99"/>
        <v>#VALUE!</v>
      </c>
      <c r="O77" s="35" t="str">
        <f t="shared" ref="O77:P77" si="100">IF(COUNT(O38,O44,O50,O54,O58,O62,O66,O71)=0,"",N(O38)+N(O44)+N(O50)+N(O54)+N(O58)+N(O62)+N(O66)+N(O71))</f>
        <v/>
      </c>
      <c r="P77" s="35" t="str">
        <f t="shared" si="100"/>
        <v/>
      </c>
      <c r="Q77" s="35" t="str">
        <f t="shared" si="44"/>
        <v/>
      </c>
      <c r="R77" s="23"/>
    </row>
    <row r="78" spans="1:18" ht="15.75" customHeight="1">
      <c r="A78" s="13" t="s">
        <v>66</v>
      </c>
      <c r="B78" s="44" t="s">
        <v>885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/>
    </row>
    <row r="79" spans="1:18" ht="15.75" customHeight="1">
      <c r="A79" s="16" t="s">
        <v>600</v>
      </c>
      <c r="B79" s="16" t="s">
        <v>570</v>
      </c>
      <c r="C79" s="16"/>
      <c r="D79" s="16"/>
      <c r="E79" s="16" t="s">
        <v>1718</v>
      </c>
      <c r="F79" s="16" t="s">
        <v>1718</v>
      </c>
      <c r="G79" s="16" t="s">
        <v>1718</v>
      </c>
      <c r="H79" s="17" t="str">
        <f>IF(COUNT(H80:H82)=0,"",SUM(H80:H82))</f>
        <v/>
      </c>
      <c r="I79" s="17" t="str">
        <f t="shared" ref="I79:I107" si="101">IF(H79="","",ROUND(H79/E79*100,2))</f>
        <v/>
      </c>
      <c r="J79" s="16" t="str">
        <f t="shared" ref="J79:J107" si="102">IF(I79="","",IF(I79&gt;YT*100,"Y",IF(I79&gt;=CT*100,"C",IF(I79&gt;=WT*100,"W","D"))))</f>
        <v/>
      </c>
      <c r="K79" s="16" t="e">
        <f t="shared" ref="K79:N79" si="103">SUM(K80:K82)</f>
        <v>#VALUE!</v>
      </c>
      <c r="L79" s="16" t="e">
        <f t="shared" si="103"/>
        <v>#VALUE!</v>
      </c>
      <c r="M79" s="16" t="e">
        <f t="shared" si="103"/>
        <v>#VALUE!</v>
      </c>
      <c r="N79" s="16" t="e">
        <f t="shared" si="103"/>
        <v>#VALUE!</v>
      </c>
      <c r="O79" s="17" t="str">
        <f t="shared" ref="O79:P79" si="104">IF(COUNT(O80:O82)=0,"",SUM(O80:O82))</f>
        <v/>
      </c>
      <c r="P79" s="17" t="str">
        <f t="shared" si="104"/>
        <v/>
      </c>
      <c r="Q79" s="17" t="str">
        <f t="shared" ref="Q79:Q107" si="105">IF(N(O79)=0,"",ROUND(N(P79)/O79*100,2))</f>
        <v/>
      </c>
      <c r="R79" s="16"/>
    </row>
    <row r="80" spans="1:18" ht="15.75" customHeight="1">
      <c r="A80" s="21" t="s">
        <v>582</v>
      </c>
      <c r="B80" s="21" t="s">
        <v>583</v>
      </c>
      <c r="C80" s="21" t="s">
        <v>899</v>
      </c>
      <c r="D80" s="21" t="s">
        <v>101</v>
      </c>
      <c r="E80" s="21" t="s">
        <v>1718</v>
      </c>
      <c r="F80" s="22" t="s">
        <v>1718</v>
      </c>
      <c r="G80" s="22" t="s">
        <v>1718</v>
      </c>
      <c r="H80" s="25" t="e">
        <f t="shared" ref="H80:H82" si="106">IF(OR(G80="",F80="",F80=0),"",ROUND(E80*MIN(G80/F80,1),2))</f>
        <v>#VALUE!</v>
      </c>
      <c r="I80" s="25" t="e">
        <f t="shared" si="101"/>
        <v>#VALUE!</v>
      </c>
      <c r="J80" s="21" t="e">
        <f t="shared" si="102"/>
        <v>#VALUE!</v>
      </c>
      <c r="K80" s="21" t="e">
        <f t="shared" ref="K80:K82" si="107">IF($J80="Y",1,"")</f>
        <v>#VALUE!</v>
      </c>
      <c r="L80" s="21" t="e">
        <f t="shared" ref="L80:L82" si="108">IF($J80="C",1,"")</f>
        <v>#VALUE!</v>
      </c>
      <c r="M80" s="21" t="e">
        <f t="shared" ref="M80:M82" si="109">IF($J80="W",1,"")</f>
        <v>#VALUE!</v>
      </c>
      <c r="N80" s="21" t="e">
        <f t="shared" ref="N80:N82" si="110">IF($J80="D",1,"")</f>
        <v>#VALUE!</v>
      </c>
      <c r="O80" s="25" t="str">
        <f>IF('C3 Validation Rubrics'!M9="","",'C3 Validation Rubrics'!M9)</f>
        <v/>
      </c>
      <c r="P80" s="25" t="str">
        <f>IF('C3 Validation Rubrics'!N9="","",'C3 Validation Rubrics'!N9)</f>
        <v/>
      </c>
      <c r="Q80" s="25" t="str">
        <f t="shared" si="105"/>
        <v/>
      </c>
      <c r="R80" s="21" t="str">
        <f>IF('C3 Validation Rubrics'!O9="","",'C3 Validation Rubrics'!O9)</f>
        <v/>
      </c>
    </row>
    <row r="81" spans="1:18" ht="15.75" customHeight="1">
      <c r="A81" s="21" t="s">
        <v>601</v>
      </c>
      <c r="B81" s="21" t="s">
        <v>602</v>
      </c>
      <c r="C81" s="21" t="s">
        <v>915</v>
      </c>
      <c r="D81" s="21" t="s">
        <v>101</v>
      </c>
      <c r="E81" s="21" t="s">
        <v>1718</v>
      </c>
      <c r="F81" s="22" t="s">
        <v>1718</v>
      </c>
      <c r="G81" s="22" t="s">
        <v>1718</v>
      </c>
      <c r="H81" s="25" t="e">
        <f t="shared" si="106"/>
        <v>#VALUE!</v>
      </c>
      <c r="I81" s="25" t="e">
        <f t="shared" si="101"/>
        <v>#VALUE!</v>
      </c>
      <c r="J81" s="21" t="e">
        <f t="shared" si="102"/>
        <v>#VALUE!</v>
      </c>
      <c r="K81" s="21" t="e">
        <f t="shared" si="107"/>
        <v>#VALUE!</v>
      </c>
      <c r="L81" s="21" t="e">
        <f t="shared" si="108"/>
        <v>#VALUE!</v>
      </c>
      <c r="M81" s="21" t="e">
        <f t="shared" si="109"/>
        <v>#VALUE!</v>
      </c>
      <c r="N81" s="21" t="e">
        <f t="shared" si="110"/>
        <v>#VALUE!</v>
      </c>
      <c r="O81" s="25" t="str">
        <f>IF('C3 Validation Rubrics'!M10="","",'C3 Validation Rubrics'!M10)</f>
        <v/>
      </c>
      <c r="P81" s="25" t="str">
        <f>IF('C3 Validation Rubrics'!N10="","",'C3 Validation Rubrics'!N10)</f>
        <v/>
      </c>
      <c r="Q81" s="25" t="str">
        <f t="shared" si="105"/>
        <v/>
      </c>
      <c r="R81" s="21" t="str">
        <f>IF('C3 Validation Rubrics'!O10="","",'C3 Validation Rubrics'!O10)</f>
        <v/>
      </c>
    </row>
    <row r="82" spans="1:18" ht="15.75" customHeight="1">
      <c r="A82" s="21" t="s">
        <v>616</v>
      </c>
      <c r="B82" s="21" t="s">
        <v>617</v>
      </c>
      <c r="C82" s="21" t="s">
        <v>926</v>
      </c>
      <c r="D82" s="21" t="s">
        <v>101</v>
      </c>
      <c r="E82" s="21" t="s">
        <v>1718</v>
      </c>
      <c r="F82" s="22" t="s">
        <v>1718</v>
      </c>
      <c r="G82" s="22" t="s">
        <v>1718</v>
      </c>
      <c r="H82" s="25" t="e">
        <f t="shared" si="106"/>
        <v>#VALUE!</v>
      </c>
      <c r="I82" s="25" t="e">
        <f t="shared" si="101"/>
        <v>#VALUE!</v>
      </c>
      <c r="J82" s="21" t="e">
        <f t="shared" si="102"/>
        <v>#VALUE!</v>
      </c>
      <c r="K82" s="21" t="e">
        <f t="shared" si="107"/>
        <v>#VALUE!</v>
      </c>
      <c r="L82" s="21" t="e">
        <f t="shared" si="108"/>
        <v>#VALUE!</v>
      </c>
      <c r="M82" s="21" t="e">
        <f t="shared" si="109"/>
        <v>#VALUE!</v>
      </c>
      <c r="N82" s="21" t="e">
        <f t="shared" si="110"/>
        <v>#VALUE!</v>
      </c>
      <c r="O82" s="25" t="str">
        <f>IF('C3 Validation Rubrics'!M11="","",'C3 Validation Rubrics'!M11)</f>
        <v/>
      </c>
      <c r="P82" s="25" t="str">
        <f>IF('C3 Validation Rubrics'!N11="","",'C3 Validation Rubrics'!N11)</f>
        <v/>
      </c>
      <c r="Q82" s="25" t="str">
        <f t="shared" si="105"/>
        <v/>
      </c>
      <c r="R82" s="21" t="str">
        <f>IF('C3 Validation Rubrics'!O11="","",'C3 Validation Rubrics'!O11)</f>
        <v/>
      </c>
    </row>
    <row r="83" spans="1:18" ht="15.75" customHeight="1">
      <c r="A83" s="16" t="s">
        <v>638</v>
      </c>
      <c r="B83" s="16" t="s">
        <v>632</v>
      </c>
      <c r="C83" s="16"/>
      <c r="D83" s="16"/>
      <c r="E83" s="16" t="s">
        <v>1718</v>
      </c>
      <c r="F83" s="16" t="s">
        <v>1718</v>
      </c>
      <c r="G83" s="16" t="s">
        <v>1718</v>
      </c>
      <c r="H83" s="17" t="str">
        <f>IF(COUNT(H84:H85)=0,"",SUM(H84:H85))</f>
        <v/>
      </c>
      <c r="I83" s="17" t="str">
        <f t="shared" si="101"/>
        <v/>
      </c>
      <c r="J83" s="16" t="str">
        <f t="shared" si="102"/>
        <v/>
      </c>
      <c r="K83" s="16" t="e">
        <f t="shared" ref="K83:N83" si="111">SUM(K84:K85)</f>
        <v>#VALUE!</v>
      </c>
      <c r="L83" s="16" t="e">
        <f t="shared" si="111"/>
        <v>#VALUE!</v>
      </c>
      <c r="M83" s="16" t="e">
        <f t="shared" si="111"/>
        <v>#VALUE!</v>
      </c>
      <c r="N83" s="16" t="e">
        <f t="shared" si="111"/>
        <v>#VALUE!</v>
      </c>
      <c r="O83" s="17" t="str">
        <f t="shared" ref="O83:P83" si="112">IF(COUNT(O84:O85)=0,"",SUM(O84:O85))</f>
        <v/>
      </c>
      <c r="P83" s="17" t="str">
        <f t="shared" si="112"/>
        <v/>
      </c>
      <c r="Q83" s="17" t="str">
        <f t="shared" si="105"/>
        <v/>
      </c>
      <c r="R83" s="16"/>
    </row>
    <row r="84" spans="1:18" ht="15.75" customHeight="1">
      <c r="A84" s="21" t="s">
        <v>635</v>
      </c>
      <c r="B84" s="21" t="s">
        <v>636</v>
      </c>
      <c r="C84" s="21" t="s">
        <v>946</v>
      </c>
      <c r="D84" s="21" t="s">
        <v>101</v>
      </c>
      <c r="E84" s="21" t="s">
        <v>1718</v>
      </c>
      <c r="F84" s="22" t="s">
        <v>1718</v>
      </c>
      <c r="G84" s="22" t="s">
        <v>1718</v>
      </c>
      <c r="H84" s="25" t="e">
        <f t="shared" ref="H84:H85" si="113">IF(OR(G84="",F84="",F84=0),"",ROUND(E84*MIN(G84/F84,1),2))</f>
        <v>#VALUE!</v>
      </c>
      <c r="I84" s="25" t="e">
        <f t="shared" si="101"/>
        <v>#VALUE!</v>
      </c>
      <c r="J84" s="21" t="e">
        <f t="shared" si="102"/>
        <v>#VALUE!</v>
      </c>
      <c r="K84" s="21" t="e">
        <f t="shared" ref="K84:K85" si="114">IF($J84="Y",1,"")</f>
        <v>#VALUE!</v>
      </c>
      <c r="L84" s="21" t="e">
        <f t="shared" ref="L84:L85" si="115">IF($J84="C",1,"")</f>
        <v>#VALUE!</v>
      </c>
      <c r="M84" s="21" t="e">
        <f t="shared" ref="M84:M85" si="116">IF($J84="W",1,"")</f>
        <v>#VALUE!</v>
      </c>
      <c r="N84" s="21" t="e">
        <f t="shared" ref="N84:N85" si="117">IF($J84="D",1,"")</f>
        <v>#VALUE!</v>
      </c>
      <c r="O84" s="25" t="str">
        <f>IF('C3 Validation Rubrics'!M13="","",'C3 Validation Rubrics'!M13)</f>
        <v/>
      </c>
      <c r="P84" s="25" t="str">
        <f>IF('C3 Validation Rubrics'!N13="","",'C3 Validation Rubrics'!N13)</f>
        <v/>
      </c>
      <c r="Q84" s="25" t="str">
        <f t="shared" si="105"/>
        <v/>
      </c>
      <c r="R84" s="21" t="str">
        <f>IF('C3 Validation Rubrics'!O13="","",'C3 Validation Rubrics'!O13)</f>
        <v/>
      </c>
    </row>
    <row r="85" spans="1:18" ht="15.75" customHeight="1">
      <c r="A85" s="21" t="s">
        <v>653</v>
      </c>
      <c r="B85" s="21" t="s">
        <v>654</v>
      </c>
      <c r="C85" s="21" t="s">
        <v>961</v>
      </c>
      <c r="D85" s="21" t="s">
        <v>101</v>
      </c>
      <c r="E85" s="21" t="s">
        <v>1718</v>
      </c>
      <c r="F85" s="22" t="s">
        <v>1718</v>
      </c>
      <c r="G85" s="22" t="s">
        <v>1718</v>
      </c>
      <c r="H85" s="25" t="e">
        <f t="shared" si="113"/>
        <v>#VALUE!</v>
      </c>
      <c r="I85" s="25" t="e">
        <f t="shared" si="101"/>
        <v>#VALUE!</v>
      </c>
      <c r="J85" s="21" t="e">
        <f t="shared" si="102"/>
        <v>#VALUE!</v>
      </c>
      <c r="K85" s="21" t="e">
        <f t="shared" si="114"/>
        <v>#VALUE!</v>
      </c>
      <c r="L85" s="21" t="e">
        <f t="shared" si="115"/>
        <v>#VALUE!</v>
      </c>
      <c r="M85" s="21" t="e">
        <f t="shared" si="116"/>
        <v>#VALUE!</v>
      </c>
      <c r="N85" s="21" t="e">
        <f t="shared" si="117"/>
        <v>#VALUE!</v>
      </c>
      <c r="O85" s="25" t="str">
        <f>IF('C3 Validation Rubrics'!M14="","",'C3 Validation Rubrics'!M14)</f>
        <v/>
      </c>
      <c r="P85" s="25" t="str">
        <f>IF('C3 Validation Rubrics'!N14="","",'C3 Validation Rubrics'!N14)</f>
        <v/>
      </c>
      <c r="Q85" s="25" t="str">
        <f t="shared" si="105"/>
        <v/>
      </c>
      <c r="R85" s="21" t="str">
        <f>IF('C3 Validation Rubrics'!O14="","",'C3 Validation Rubrics'!O14)</f>
        <v/>
      </c>
    </row>
    <row r="86" spans="1:18" ht="15.75" customHeight="1">
      <c r="A86" s="16" t="s">
        <v>667</v>
      </c>
      <c r="B86" s="16" t="s">
        <v>668</v>
      </c>
      <c r="C86" s="16"/>
      <c r="D86" s="16"/>
      <c r="E86" s="16" t="s">
        <v>1718</v>
      </c>
      <c r="F86" s="16" t="s">
        <v>1718</v>
      </c>
      <c r="G86" s="16" t="s">
        <v>1718</v>
      </c>
      <c r="H86" s="17" t="str">
        <f>IF(COUNT(H87:H89)=0,"",SUM(H87:H89))</f>
        <v/>
      </c>
      <c r="I86" s="17" t="str">
        <f t="shared" si="101"/>
        <v/>
      </c>
      <c r="J86" s="16" t="str">
        <f t="shared" si="102"/>
        <v/>
      </c>
      <c r="K86" s="16" t="e">
        <f t="shared" ref="K86:N86" si="118">SUM(K87:K89)</f>
        <v>#VALUE!</v>
      </c>
      <c r="L86" s="16" t="e">
        <f t="shared" si="118"/>
        <v>#VALUE!</v>
      </c>
      <c r="M86" s="16" t="e">
        <f t="shared" si="118"/>
        <v>#VALUE!</v>
      </c>
      <c r="N86" s="16" t="e">
        <f t="shared" si="118"/>
        <v>#VALUE!</v>
      </c>
      <c r="O86" s="17" t="str">
        <f t="shared" ref="O86:P86" si="119">IF(COUNT(O87:O89)=0,"",SUM(O87:O89))</f>
        <v/>
      </c>
      <c r="P86" s="17" t="str">
        <f t="shared" si="119"/>
        <v/>
      </c>
      <c r="Q86" s="17" t="str">
        <f t="shared" si="105"/>
        <v/>
      </c>
      <c r="R86" s="16"/>
    </row>
    <row r="87" spans="1:18" ht="15.75" customHeight="1">
      <c r="A87" s="21" t="s">
        <v>688</v>
      </c>
      <c r="B87" s="21" t="s">
        <v>689</v>
      </c>
      <c r="C87" s="21" t="s">
        <v>975</v>
      </c>
      <c r="D87" s="21" t="s">
        <v>101</v>
      </c>
      <c r="E87" s="21" t="s">
        <v>1718</v>
      </c>
      <c r="F87" s="22" t="s">
        <v>1718</v>
      </c>
      <c r="G87" s="22" t="s">
        <v>1718</v>
      </c>
      <c r="H87" s="25" t="e">
        <f t="shared" ref="H87:H89" si="120">IF(OR(G87="",F87="",F87=0),"",ROUND(E87*MIN(G87/F87,1),2))</f>
        <v>#VALUE!</v>
      </c>
      <c r="I87" s="25" t="e">
        <f t="shared" si="101"/>
        <v>#VALUE!</v>
      </c>
      <c r="J87" s="21" t="e">
        <f t="shared" si="102"/>
        <v>#VALUE!</v>
      </c>
      <c r="K87" s="21" t="e">
        <f t="shared" ref="K87:K89" si="121">IF($J87="Y",1,"")</f>
        <v>#VALUE!</v>
      </c>
      <c r="L87" s="21" t="e">
        <f t="shared" ref="L87:L89" si="122">IF($J87="C",1,"")</f>
        <v>#VALUE!</v>
      </c>
      <c r="M87" s="21" t="e">
        <f t="shared" ref="M87:M89" si="123">IF($J87="W",1,"")</f>
        <v>#VALUE!</v>
      </c>
      <c r="N87" s="21" t="e">
        <f t="shared" ref="N87:N89" si="124">IF($J87="D",1,"")</f>
        <v>#VALUE!</v>
      </c>
      <c r="O87" s="25" t="str">
        <f>IF('C3 Validation Rubrics'!M16="","",'C3 Validation Rubrics'!M16)</f>
        <v/>
      </c>
      <c r="P87" s="25" t="str">
        <f>IF('C3 Validation Rubrics'!N16="","",'C3 Validation Rubrics'!N16)</f>
        <v/>
      </c>
      <c r="Q87" s="25" t="str">
        <f t="shared" si="105"/>
        <v/>
      </c>
      <c r="R87" s="21" t="str">
        <f>IF('C3 Validation Rubrics'!O16="","",'C3 Validation Rubrics'!O16)</f>
        <v/>
      </c>
    </row>
    <row r="88" spans="1:18" ht="15.75" customHeight="1">
      <c r="A88" s="21" t="s">
        <v>707</v>
      </c>
      <c r="B88" s="21" t="s">
        <v>708</v>
      </c>
      <c r="C88" s="21" t="s">
        <v>978</v>
      </c>
      <c r="D88" s="21" t="s">
        <v>101</v>
      </c>
      <c r="E88" s="21" t="s">
        <v>1718</v>
      </c>
      <c r="F88" s="22" t="s">
        <v>1718</v>
      </c>
      <c r="G88" s="22" t="s">
        <v>1718</v>
      </c>
      <c r="H88" s="25" t="e">
        <f t="shared" si="120"/>
        <v>#VALUE!</v>
      </c>
      <c r="I88" s="25" t="e">
        <f t="shared" si="101"/>
        <v>#VALUE!</v>
      </c>
      <c r="J88" s="21" t="e">
        <f t="shared" si="102"/>
        <v>#VALUE!</v>
      </c>
      <c r="K88" s="21" t="e">
        <f t="shared" si="121"/>
        <v>#VALUE!</v>
      </c>
      <c r="L88" s="21" t="e">
        <f t="shared" si="122"/>
        <v>#VALUE!</v>
      </c>
      <c r="M88" s="21" t="e">
        <f t="shared" si="123"/>
        <v>#VALUE!</v>
      </c>
      <c r="N88" s="21" t="e">
        <f t="shared" si="124"/>
        <v>#VALUE!</v>
      </c>
      <c r="O88" s="25" t="str">
        <f>IF('C3 Validation Rubrics'!M17="","",'C3 Validation Rubrics'!M17)</f>
        <v/>
      </c>
      <c r="P88" s="25" t="str">
        <f>IF('C3 Validation Rubrics'!N17="","",'C3 Validation Rubrics'!N17)</f>
        <v/>
      </c>
      <c r="Q88" s="25" t="str">
        <f t="shared" si="105"/>
        <v/>
      </c>
      <c r="R88" s="21" t="str">
        <f>IF('C3 Validation Rubrics'!O17="","",'C3 Validation Rubrics'!O17)</f>
        <v/>
      </c>
    </row>
    <row r="89" spans="1:18" ht="15.75" customHeight="1">
      <c r="A89" s="21" t="s">
        <v>716</v>
      </c>
      <c r="B89" s="21" t="s">
        <v>717</v>
      </c>
      <c r="C89" s="21" t="s">
        <v>987</v>
      </c>
      <c r="D89" s="21" t="s">
        <v>101</v>
      </c>
      <c r="E89" s="21" t="s">
        <v>1718</v>
      </c>
      <c r="F89" s="22" t="s">
        <v>1718</v>
      </c>
      <c r="G89" s="22" t="s">
        <v>1718</v>
      </c>
      <c r="H89" s="25" t="e">
        <f t="shared" si="120"/>
        <v>#VALUE!</v>
      </c>
      <c r="I89" s="25" t="e">
        <f t="shared" si="101"/>
        <v>#VALUE!</v>
      </c>
      <c r="J89" s="21" t="e">
        <f t="shared" si="102"/>
        <v>#VALUE!</v>
      </c>
      <c r="K89" s="21" t="e">
        <f t="shared" si="121"/>
        <v>#VALUE!</v>
      </c>
      <c r="L89" s="21" t="e">
        <f t="shared" si="122"/>
        <v>#VALUE!</v>
      </c>
      <c r="M89" s="21" t="e">
        <f t="shared" si="123"/>
        <v>#VALUE!</v>
      </c>
      <c r="N89" s="21" t="e">
        <f t="shared" si="124"/>
        <v>#VALUE!</v>
      </c>
      <c r="O89" s="25" t="str">
        <f>IF('C3 Validation Rubrics'!M18="","",'C3 Validation Rubrics'!M18)</f>
        <v/>
      </c>
      <c r="P89" s="25" t="str">
        <f>IF('C3 Validation Rubrics'!N18="","",'C3 Validation Rubrics'!N18)</f>
        <v/>
      </c>
      <c r="Q89" s="25" t="str">
        <f t="shared" si="105"/>
        <v/>
      </c>
      <c r="R89" s="21" t="str">
        <f>IF('C3 Validation Rubrics'!O18="","",'C3 Validation Rubrics'!O18)</f>
        <v/>
      </c>
    </row>
    <row r="90" spans="1:18" ht="15.75" customHeight="1">
      <c r="A90" s="16" t="s">
        <v>695</v>
      </c>
      <c r="B90" s="16" t="s">
        <v>696</v>
      </c>
      <c r="C90" s="16"/>
      <c r="D90" s="16"/>
      <c r="E90" s="16" t="s">
        <v>1718</v>
      </c>
      <c r="F90" s="16" t="s">
        <v>1718</v>
      </c>
      <c r="G90" s="16" t="s">
        <v>1718</v>
      </c>
      <c r="H90" s="17" t="str">
        <f>IF(COUNT(H91:H92)=0,"",SUM(H91:H92))</f>
        <v/>
      </c>
      <c r="I90" s="17" t="str">
        <f t="shared" si="101"/>
        <v/>
      </c>
      <c r="J90" s="16" t="str">
        <f t="shared" si="102"/>
        <v/>
      </c>
      <c r="K90" s="16" t="e">
        <f t="shared" ref="K90:N90" si="125">SUM(K91:K92)</f>
        <v>#VALUE!</v>
      </c>
      <c r="L90" s="16" t="e">
        <f t="shared" si="125"/>
        <v>#VALUE!</v>
      </c>
      <c r="M90" s="16" t="e">
        <f t="shared" si="125"/>
        <v>#VALUE!</v>
      </c>
      <c r="N90" s="16" t="e">
        <f t="shared" si="125"/>
        <v>#VALUE!</v>
      </c>
      <c r="O90" s="17" t="str">
        <f t="shared" ref="O90:P90" si="126">IF(COUNT(O91:O92)=0,"",SUM(O91:O92))</f>
        <v/>
      </c>
      <c r="P90" s="17" t="str">
        <f t="shared" si="126"/>
        <v/>
      </c>
      <c r="Q90" s="17" t="str">
        <f t="shared" si="105"/>
        <v/>
      </c>
      <c r="R90" s="16"/>
    </row>
    <row r="91" spans="1:18" ht="15.75" customHeight="1">
      <c r="A91" s="21" t="s">
        <v>747</v>
      </c>
      <c r="B91" s="21" t="s">
        <v>748</v>
      </c>
      <c r="C91" s="21" t="s">
        <v>1004</v>
      </c>
      <c r="D91" s="21" t="s">
        <v>101</v>
      </c>
      <c r="E91" s="21" t="s">
        <v>1718</v>
      </c>
      <c r="F91" s="22" t="s">
        <v>1718</v>
      </c>
      <c r="G91" s="22" t="s">
        <v>1718</v>
      </c>
      <c r="H91" s="25" t="e">
        <f t="shared" ref="H91:H92" si="127">IF(OR(G91="",F91="",F91=0),"",ROUND(E91*MIN(G91/F91,1),2))</f>
        <v>#VALUE!</v>
      </c>
      <c r="I91" s="25" t="e">
        <f t="shared" si="101"/>
        <v>#VALUE!</v>
      </c>
      <c r="J91" s="21" t="e">
        <f t="shared" si="102"/>
        <v>#VALUE!</v>
      </c>
      <c r="K91" s="21" t="e">
        <f t="shared" ref="K91:K92" si="128">IF($J91="Y",1,"")</f>
        <v>#VALUE!</v>
      </c>
      <c r="L91" s="21" t="e">
        <f t="shared" ref="L91:L92" si="129">IF($J91="C",1,"")</f>
        <v>#VALUE!</v>
      </c>
      <c r="M91" s="21" t="e">
        <f t="shared" ref="M91:M92" si="130">IF($J91="W",1,"")</f>
        <v>#VALUE!</v>
      </c>
      <c r="N91" s="21" t="e">
        <f t="shared" ref="N91:N92" si="131">IF($J91="D",1,"")</f>
        <v>#VALUE!</v>
      </c>
      <c r="O91" s="25" t="str">
        <f>IF('C3 Validation Rubrics'!M20="","",'C3 Validation Rubrics'!M20)</f>
        <v/>
      </c>
      <c r="P91" s="25" t="str">
        <f>IF('C3 Validation Rubrics'!N20="","",'C3 Validation Rubrics'!N20)</f>
        <v/>
      </c>
      <c r="Q91" s="25" t="str">
        <f t="shared" si="105"/>
        <v/>
      </c>
      <c r="R91" s="21" t="str">
        <f>IF('C3 Validation Rubrics'!O20="","",'C3 Validation Rubrics'!O20)</f>
        <v/>
      </c>
    </row>
    <row r="92" spans="1:18" ht="15.75" customHeight="1">
      <c r="A92" s="21" t="s">
        <v>764</v>
      </c>
      <c r="B92" s="21" t="s">
        <v>765</v>
      </c>
      <c r="C92" s="21" t="s">
        <v>1030</v>
      </c>
      <c r="D92" s="21" t="s">
        <v>101</v>
      </c>
      <c r="E92" s="21" t="s">
        <v>1718</v>
      </c>
      <c r="F92" s="22" t="s">
        <v>1718</v>
      </c>
      <c r="G92" s="22" t="s">
        <v>1718</v>
      </c>
      <c r="H92" s="25" t="e">
        <f t="shared" si="127"/>
        <v>#VALUE!</v>
      </c>
      <c r="I92" s="25" t="e">
        <f t="shared" si="101"/>
        <v>#VALUE!</v>
      </c>
      <c r="J92" s="21" t="e">
        <f t="shared" si="102"/>
        <v>#VALUE!</v>
      </c>
      <c r="K92" s="21" t="e">
        <f t="shared" si="128"/>
        <v>#VALUE!</v>
      </c>
      <c r="L92" s="21" t="e">
        <f t="shared" si="129"/>
        <v>#VALUE!</v>
      </c>
      <c r="M92" s="21" t="e">
        <f t="shared" si="130"/>
        <v>#VALUE!</v>
      </c>
      <c r="N92" s="21" t="e">
        <f t="shared" si="131"/>
        <v>#VALUE!</v>
      </c>
      <c r="O92" s="25" t="str">
        <f>IF('C3 Validation Rubrics'!M21="","",'C3 Validation Rubrics'!M21)</f>
        <v/>
      </c>
      <c r="P92" s="25" t="str">
        <f>IF('C3 Validation Rubrics'!N21="","",'C3 Validation Rubrics'!N21)</f>
        <v/>
      </c>
      <c r="Q92" s="25" t="str">
        <f t="shared" si="105"/>
        <v/>
      </c>
      <c r="R92" s="21" t="str">
        <f>IF('C3 Validation Rubrics'!O21="","",'C3 Validation Rubrics'!O21)</f>
        <v/>
      </c>
    </row>
    <row r="93" spans="1:18" ht="15.75" customHeight="1">
      <c r="A93" s="16" t="s">
        <v>719</v>
      </c>
      <c r="B93" s="16" t="s">
        <v>723</v>
      </c>
      <c r="C93" s="16"/>
      <c r="D93" s="16"/>
      <c r="E93" s="16" t="s">
        <v>1718</v>
      </c>
      <c r="F93" s="16" t="s">
        <v>1718</v>
      </c>
      <c r="G93" s="16" t="s">
        <v>1718</v>
      </c>
      <c r="H93" s="17" t="str">
        <f>IF(COUNT(H94:H96)=0,"",SUM(H94:H96))</f>
        <v/>
      </c>
      <c r="I93" s="17" t="str">
        <f t="shared" si="101"/>
        <v/>
      </c>
      <c r="J93" s="16" t="str">
        <f t="shared" si="102"/>
        <v/>
      </c>
      <c r="K93" s="16" t="e">
        <f t="shared" ref="K93:N93" si="132">SUM(K94:K96)</f>
        <v>#VALUE!</v>
      </c>
      <c r="L93" s="16" t="e">
        <f t="shared" si="132"/>
        <v>#VALUE!</v>
      </c>
      <c r="M93" s="16" t="e">
        <f t="shared" si="132"/>
        <v>#VALUE!</v>
      </c>
      <c r="N93" s="16" t="e">
        <f t="shared" si="132"/>
        <v>#VALUE!</v>
      </c>
      <c r="O93" s="17" t="str">
        <f t="shared" ref="O93:P93" si="133">IF(COUNT(O94:O96)=0,"",SUM(O94:O96))</f>
        <v/>
      </c>
      <c r="P93" s="17" t="str">
        <f t="shared" si="133"/>
        <v/>
      </c>
      <c r="Q93" s="17" t="str">
        <f t="shared" si="105"/>
        <v/>
      </c>
      <c r="R93" s="16"/>
    </row>
    <row r="94" spans="1:18" ht="15.75" customHeight="1">
      <c r="A94" s="21" t="s">
        <v>773</v>
      </c>
      <c r="B94" s="21" t="s">
        <v>774</v>
      </c>
      <c r="C94" s="21" t="s">
        <v>1060</v>
      </c>
      <c r="D94" s="21" t="s">
        <v>101</v>
      </c>
      <c r="E94" s="21" t="s">
        <v>1718</v>
      </c>
      <c r="F94" s="22" t="s">
        <v>1718</v>
      </c>
      <c r="G94" s="22" t="s">
        <v>1718</v>
      </c>
      <c r="H94" s="25" t="e">
        <f t="shared" ref="H94:H96" si="134">IF(OR(G94="",F94="",F94=0),"",ROUND(E94*MIN(G94/F94,1),2))</f>
        <v>#VALUE!</v>
      </c>
      <c r="I94" s="25" t="e">
        <f t="shared" si="101"/>
        <v>#VALUE!</v>
      </c>
      <c r="J94" s="21" t="e">
        <f t="shared" si="102"/>
        <v>#VALUE!</v>
      </c>
      <c r="K94" s="21" t="e">
        <f t="shared" ref="K94:K96" si="135">IF($J94="Y",1,"")</f>
        <v>#VALUE!</v>
      </c>
      <c r="L94" s="21" t="e">
        <f t="shared" ref="L94:L96" si="136">IF($J94="C",1,"")</f>
        <v>#VALUE!</v>
      </c>
      <c r="M94" s="21" t="e">
        <f t="shared" ref="M94:M96" si="137">IF($J94="W",1,"")</f>
        <v>#VALUE!</v>
      </c>
      <c r="N94" s="21" t="e">
        <f t="shared" ref="N94:N96" si="138">IF($J94="D",1,"")</f>
        <v>#VALUE!</v>
      </c>
      <c r="O94" s="25" t="str">
        <f>IF('C3 Validation Rubrics'!M23="","",'C3 Validation Rubrics'!M23)</f>
        <v/>
      </c>
      <c r="P94" s="25" t="str">
        <f>IF('C3 Validation Rubrics'!N23="","",'C3 Validation Rubrics'!N23)</f>
        <v/>
      </c>
      <c r="Q94" s="25" t="str">
        <f t="shared" si="105"/>
        <v/>
      </c>
      <c r="R94" s="21" t="str">
        <f>IF('C3 Validation Rubrics'!O23="","",'C3 Validation Rubrics'!O23)</f>
        <v/>
      </c>
    </row>
    <row r="95" spans="1:18" ht="15.75" customHeight="1">
      <c r="A95" s="21" t="s">
        <v>783</v>
      </c>
      <c r="B95" s="21" t="s">
        <v>784</v>
      </c>
      <c r="C95" s="21" t="s">
        <v>1093</v>
      </c>
      <c r="D95" s="21" t="s">
        <v>101</v>
      </c>
      <c r="E95" s="21" t="s">
        <v>1718</v>
      </c>
      <c r="F95" s="22" t="s">
        <v>1718</v>
      </c>
      <c r="G95" s="22" t="s">
        <v>1718</v>
      </c>
      <c r="H95" s="25" t="e">
        <f t="shared" si="134"/>
        <v>#VALUE!</v>
      </c>
      <c r="I95" s="25" t="e">
        <f t="shared" si="101"/>
        <v>#VALUE!</v>
      </c>
      <c r="J95" s="21" t="e">
        <f t="shared" si="102"/>
        <v>#VALUE!</v>
      </c>
      <c r="K95" s="21" t="e">
        <f t="shared" si="135"/>
        <v>#VALUE!</v>
      </c>
      <c r="L95" s="21" t="e">
        <f t="shared" si="136"/>
        <v>#VALUE!</v>
      </c>
      <c r="M95" s="21" t="e">
        <f t="shared" si="137"/>
        <v>#VALUE!</v>
      </c>
      <c r="N95" s="21" t="e">
        <f t="shared" si="138"/>
        <v>#VALUE!</v>
      </c>
      <c r="O95" s="25" t="str">
        <f>IF('C3 Validation Rubrics'!M24="","",'C3 Validation Rubrics'!M24)</f>
        <v/>
      </c>
      <c r="P95" s="25" t="str">
        <f>IF('C3 Validation Rubrics'!N24="","",'C3 Validation Rubrics'!N24)</f>
        <v/>
      </c>
      <c r="Q95" s="25" t="str">
        <f t="shared" si="105"/>
        <v/>
      </c>
      <c r="R95" s="21" t="str">
        <f>IF('C3 Validation Rubrics'!O24="","",'C3 Validation Rubrics'!O24)</f>
        <v/>
      </c>
    </row>
    <row r="96" spans="1:18" ht="15.75" customHeight="1">
      <c r="A96" s="21" t="s">
        <v>788</v>
      </c>
      <c r="B96" s="21" t="s">
        <v>789</v>
      </c>
      <c r="C96" s="21" t="s">
        <v>1096</v>
      </c>
      <c r="D96" s="21" t="s">
        <v>101</v>
      </c>
      <c r="E96" s="21" t="s">
        <v>1718</v>
      </c>
      <c r="F96" s="22" t="s">
        <v>1718</v>
      </c>
      <c r="G96" s="22" t="s">
        <v>1718</v>
      </c>
      <c r="H96" s="25" t="e">
        <f t="shared" si="134"/>
        <v>#VALUE!</v>
      </c>
      <c r="I96" s="25" t="e">
        <f t="shared" si="101"/>
        <v>#VALUE!</v>
      </c>
      <c r="J96" s="21" t="e">
        <f t="shared" si="102"/>
        <v>#VALUE!</v>
      </c>
      <c r="K96" s="21" t="e">
        <f t="shared" si="135"/>
        <v>#VALUE!</v>
      </c>
      <c r="L96" s="21" t="e">
        <f t="shared" si="136"/>
        <v>#VALUE!</v>
      </c>
      <c r="M96" s="21" t="e">
        <f t="shared" si="137"/>
        <v>#VALUE!</v>
      </c>
      <c r="N96" s="21" t="e">
        <f t="shared" si="138"/>
        <v>#VALUE!</v>
      </c>
      <c r="O96" s="25" t="str">
        <f>IF('C3 Validation Rubrics'!M25="","",'C3 Validation Rubrics'!M25)</f>
        <v/>
      </c>
      <c r="P96" s="25" t="str">
        <f>IF('C3 Validation Rubrics'!N25="","",'C3 Validation Rubrics'!N25)</f>
        <v/>
      </c>
      <c r="Q96" s="25" t="str">
        <f t="shared" si="105"/>
        <v/>
      </c>
      <c r="R96" s="21" t="str">
        <f>IF('C3 Validation Rubrics'!O25="","",'C3 Validation Rubrics'!O25)</f>
        <v/>
      </c>
    </row>
    <row r="97" spans="1:18" ht="15.75" customHeight="1">
      <c r="A97" s="16" t="s">
        <v>762</v>
      </c>
      <c r="B97" s="16" t="s">
        <v>797</v>
      </c>
      <c r="C97" s="16"/>
      <c r="D97" s="16"/>
      <c r="E97" s="16" t="s">
        <v>1718</v>
      </c>
      <c r="F97" s="16" t="s">
        <v>1718</v>
      </c>
      <c r="G97" s="16" t="s">
        <v>1718</v>
      </c>
      <c r="H97" s="17" t="str">
        <f>IF(COUNT(H98:H99)=0,"",SUM(H98:H99))</f>
        <v/>
      </c>
      <c r="I97" s="17" t="str">
        <f t="shared" si="101"/>
        <v/>
      </c>
      <c r="J97" s="16" t="str">
        <f t="shared" si="102"/>
        <v/>
      </c>
      <c r="K97" s="16" t="e">
        <f t="shared" ref="K97:N97" si="139">SUM(K98:K99)</f>
        <v>#VALUE!</v>
      </c>
      <c r="L97" s="16" t="e">
        <f t="shared" si="139"/>
        <v>#VALUE!</v>
      </c>
      <c r="M97" s="16" t="e">
        <f t="shared" si="139"/>
        <v>#VALUE!</v>
      </c>
      <c r="N97" s="16" t="e">
        <f t="shared" si="139"/>
        <v>#VALUE!</v>
      </c>
      <c r="O97" s="17" t="str">
        <f t="shared" ref="O97:P97" si="140">IF(COUNT(O98:O99)=0,"",SUM(O98:O99))</f>
        <v/>
      </c>
      <c r="P97" s="17" t="str">
        <f t="shared" si="140"/>
        <v/>
      </c>
      <c r="Q97" s="17" t="str">
        <f t="shared" si="105"/>
        <v/>
      </c>
      <c r="R97" s="16"/>
    </row>
    <row r="98" spans="1:18" ht="15.75" customHeight="1">
      <c r="A98" s="21" t="s">
        <v>799</v>
      </c>
      <c r="B98" s="21" t="s">
        <v>800</v>
      </c>
      <c r="C98" s="21" t="s">
        <v>1114</v>
      </c>
      <c r="D98" s="21" t="s">
        <v>101</v>
      </c>
      <c r="E98" s="21" t="s">
        <v>1718</v>
      </c>
      <c r="F98" s="22" t="s">
        <v>1718</v>
      </c>
      <c r="G98" s="22" t="s">
        <v>1718</v>
      </c>
      <c r="H98" s="25" t="e">
        <f t="shared" ref="H98:H99" si="141">IF(OR(G98="",F98="",F98=0),"",ROUND(E98*MIN(G98/F98,1),2))</f>
        <v>#VALUE!</v>
      </c>
      <c r="I98" s="25" t="e">
        <f t="shared" si="101"/>
        <v>#VALUE!</v>
      </c>
      <c r="J98" s="21" t="e">
        <f t="shared" si="102"/>
        <v>#VALUE!</v>
      </c>
      <c r="K98" s="21" t="e">
        <f t="shared" ref="K98:K99" si="142">IF($J98="Y",1,"")</f>
        <v>#VALUE!</v>
      </c>
      <c r="L98" s="21" t="e">
        <f t="shared" ref="L98:L99" si="143">IF($J98="C",1,"")</f>
        <v>#VALUE!</v>
      </c>
      <c r="M98" s="21" t="e">
        <f t="shared" ref="M98:M99" si="144">IF($J98="W",1,"")</f>
        <v>#VALUE!</v>
      </c>
      <c r="N98" s="21" t="e">
        <f t="shared" ref="N98:N99" si="145">IF($J98="D",1,"")</f>
        <v>#VALUE!</v>
      </c>
      <c r="O98" s="25" t="str">
        <f>IF('C3 Validation Rubrics'!M27="","",'C3 Validation Rubrics'!M27)</f>
        <v/>
      </c>
      <c r="P98" s="25" t="str">
        <f>IF('C3 Validation Rubrics'!N27="","",'C3 Validation Rubrics'!N27)</f>
        <v/>
      </c>
      <c r="Q98" s="25" t="str">
        <f t="shared" si="105"/>
        <v/>
      </c>
      <c r="R98" s="21" t="str">
        <f>IF('C3 Validation Rubrics'!O27="","",'C3 Validation Rubrics'!O27)</f>
        <v/>
      </c>
    </row>
    <row r="99" spans="1:18" ht="15.75" customHeight="1">
      <c r="A99" s="21" t="s">
        <v>805</v>
      </c>
      <c r="B99" s="21" t="s">
        <v>806</v>
      </c>
      <c r="C99" s="21" t="s">
        <v>1142</v>
      </c>
      <c r="D99" s="21" t="s">
        <v>101</v>
      </c>
      <c r="E99" s="21" t="s">
        <v>1718</v>
      </c>
      <c r="F99" s="22" t="s">
        <v>1718</v>
      </c>
      <c r="G99" s="22" t="s">
        <v>1718</v>
      </c>
      <c r="H99" s="25" t="e">
        <f t="shared" si="141"/>
        <v>#VALUE!</v>
      </c>
      <c r="I99" s="25" t="e">
        <f t="shared" si="101"/>
        <v>#VALUE!</v>
      </c>
      <c r="J99" s="21" t="e">
        <f t="shared" si="102"/>
        <v>#VALUE!</v>
      </c>
      <c r="K99" s="21" t="e">
        <f t="shared" si="142"/>
        <v>#VALUE!</v>
      </c>
      <c r="L99" s="21" t="e">
        <f t="shared" si="143"/>
        <v>#VALUE!</v>
      </c>
      <c r="M99" s="21" t="e">
        <f t="shared" si="144"/>
        <v>#VALUE!</v>
      </c>
      <c r="N99" s="21" t="e">
        <f t="shared" si="145"/>
        <v>#VALUE!</v>
      </c>
      <c r="O99" s="25" t="str">
        <f>IF('C3 Validation Rubrics'!M28="","",'C3 Validation Rubrics'!M28)</f>
        <v/>
      </c>
      <c r="P99" s="25" t="str">
        <f>IF('C3 Validation Rubrics'!N28="","",'C3 Validation Rubrics'!N28)</f>
        <v/>
      </c>
      <c r="Q99" s="25" t="str">
        <f t="shared" si="105"/>
        <v/>
      </c>
      <c r="R99" s="21" t="str">
        <f>IF('C3 Validation Rubrics'!O28="","",'C3 Validation Rubrics'!O28)</f>
        <v/>
      </c>
    </row>
    <row r="100" spans="1:18" ht="15.75" customHeight="1">
      <c r="A100" s="16" t="s">
        <v>770</v>
      </c>
      <c r="B100" s="16" t="s">
        <v>771</v>
      </c>
      <c r="C100" s="16"/>
      <c r="D100" s="16"/>
      <c r="E100" s="16" t="s">
        <v>1718</v>
      </c>
      <c r="F100" s="16" t="s">
        <v>1718</v>
      </c>
      <c r="G100" s="16" t="s">
        <v>1718</v>
      </c>
      <c r="H100" s="17" t="str">
        <f>IF(COUNT(H101:H103)=0,"",SUM(H101:H103))</f>
        <v/>
      </c>
      <c r="I100" s="17" t="str">
        <f t="shared" si="101"/>
        <v/>
      </c>
      <c r="J100" s="16" t="str">
        <f t="shared" si="102"/>
        <v/>
      </c>
      <c r="K100" s="16" t="e">
        <f t="shared" ref="K100:N100" si="146">SUM(K101:K103)</f>
        <v>#VALUE!</v>
      </c>
      <c r="L100" s="16" t="e">
        <f t="shared" si="146"/>
        <v>#VALUE!</v>
      </c>
      <c r="M100" s="16" t="e">
        <f t="shared" si="146"/>
        <v>#VALUE!</v>
      </c>
      <c r="N100" s="16" t="e">
        <f t="shared" si="146"/>
        <v>#VALUE!</v>
      </c>
      <c r="O100" s="17" t="str">
        <f t="shared" ref="O100:P100" si="147">IF(COUNT(O101:O103)=0,"",SUM(O101:O103))</f>
        <v/>
      </c>
      <c r="P100" s="17" t="str">
        <f t="shared" si="147"/>
        <v/>
      </c>
      <c r="Q100" s="17" t="str">
        <f t="shared" si="105"/>
        <v/>
      </c>
      <c r="R100" s="16"/>
    </row>
    <row r="101" spans="1:18" ht="15.75" customHeight="1">
      <c r="A101" s="21" t="s">
        <v>816</v>
      </c>
      <c r="B101" s="21" t="s">
        <v>817</v>
      </c>
      <c r="C101" s="21" t="s">
        <v>1176</v>
      </c>
      <c r="D101" s="21" t="s">
        <v>101</v>
      </c>
      <c r="E101" s="21" t="s">
        <v>1718</v>
      </c>
      <c r="F101" s="22" t="s">
        <v>1718</v>
      </c>
      <c r="G101" s="22" t="s">
        <v>1718</v>
      </c>
      <c r="H101" s="25" t="e">
        <f t="shared" ref="H101:H103" si="148">IF(OR(G101="",F101="",F101=0),"",ROUND(E101*MIN(G101/F101,1),2))</f>
        <v>#VALUE!</v>
      </c>
      <c r="I101" s="25" t="e">
        <f t="shared" si="101"/>
        <v>#VALUE!</v>
      </c>
      <c r="J101" s="21" t="e">
        <f t="shared" si="102"/>
        <v>#VALUE!</v>
      </c>
      <c r="K101" s="21" t="e">
        <f t="shared" ref="K101:K103" si="149">IF($J101="Y",1,"")</f>
        <v>#VALUE!</v>
      </c>
      <c r="L101" s="21" t="e">
        <f t="shared" ref="L101:L103" si="150">IF($J101="C",1,"")</f>
        <v>#VALUE!</v>
      </c>
      <c r="M101" s="21" t="e">
        <f t="shared" ref="M101:M103" si="151">IF($J101="W",1,"")</f>
        <v>#VALUE!</v>
      </c>
      <c r="N101" s="21" t="e">
        <f t="shared" ref="N101:N103" si="152">IF($J101="D",1,"")</f>
        <v>#VALUE!</v>
      </c>
      <c r="O101" s="25" t="str">
        <f>IF('C3 Validation Rubrics'!M30="","",'C3 Validation Rubrics'!M30)</f>
        <v/>
      </c>
      <c r="P101" s="25" t="str">
        <f>IF('C3 Validation Rubrics'!N30="","",'C3 Validation Rubrics'!N30)</f>
        <v/>
      </c>
      <c r="Q101" s="25" t="str">
        <f t="shared" si="105"/>
        <v/>
      </c>
      <c r="R101" s="21" t="str">
        <f>IF('C3 Validation Rubrics'!O30="","",'C3 Validation Rubrics'!O30)</f>
        <v/>
      </c>
    </row>
    <row r="102" spans="1:18" ht="15.75" customHeight="1">
      <c r="A102" s="21" t="s">
        <v>825</v>
      </c>
      <c r="B102" s="21" t="s">
        <v>826</v>
      </c>
      <c r="C102" s="21" t="s">
        <v>1185</v>
      </c>
      <c r="D102" s="21" t="s">
        <v>101</v>
      </c>
      <c r="E102" s="21" t="s">
        <v>1718</v>
      </c>
      <c r="F102" s="22" t="s">
        <v>1718</v>
      </c>
      <c r="G102" s="22" t="s">
        <v>1718</v>
      </c>
      <c r="H102" s="25" t="e">
        <f t="shared" si="148"/>
        <v>#VALUE!</v>
      </c>
      <c r="I102" s="25" t="e">
        <f t="shared" si="101"/>
        <v>#VALUE!</v>
      </c>
      <c r="J102" s="21" t="e">
        <f t="shared" si="102"/>
        <v>#VALUE!</v>
      </c>
      <c r="K102" s="21" t="e">
        <f t="shared" si="149"/>
        <v>#VALUE!</v>
      </c>
      <c r="L102" s="21" t="e">
        <f t="shared" si="150"/>
        <v>#VALUE!</v>
      </c>
      <c r="M102" s="21" t="e">
        <f t="shared" si="151"/>
        <v>#VALUE!</v>
      </c>
      <c r="N102" s="21" t="e">
        <f t="shared" si="152"/>
        <v>#VALUE!</v>
      </c>
      <c r="O102" s="25" t="str">
        <f>IF('C3 Validation Rubrics'!M31="","",'C3 Validation Rubrics'!M31)</f>
        <v/>
      </c>
      <c r="P102" s="25" t="str">
        <f>IF('C3 Validation Rubrics'!N31="","",'C3 Validation Rubrics'!N31)</f>
        <v/>
      </c>
      <c r="Q102" s="25" t="str">
        <f t="shared" si="105"/>
        <v/>
      </c>
      <c r="R102" s="21" t="str">
        <f>IF('C3 Validation Rubrics'!O31="","",'C3 Validation Rubrics'!O31)</f>
        <v/>
      </c>
    </row>
    <row r="103" spans="1:18" ht="15.75" customHeight="1">
      <c r="A103" s="21" t="s">
        <v>832</v>
      </c>
      <c r="B103" s="21" t="s">
        <v>833</v>
      </c>
      <c r="C103" s="21" t="s">
        <v>1195</v>
      </c>
      <c r="D103" s="21" t="s">
        <v>101</v>
      </c>
      <c r="E103" s="21" t="s">
        <v>1718</v>
      </c>
      <c r="F103" s="22" t="s">
        <v>1718</v>
      </c>
      <c r="G103" s="22" t="s">
        <v>1718</v>
      </c>
      <c r="H103" s="25" t="e">
        <f t="shared" si="148"/>
        <v>#VALUE!</v>
      </c>
      <c r="I103" s="25" t="e">
        <f t="shared" si="101"/>
        <v>#VALUE!</v>
      </c>
      <c r="J103" s="21" t="e">
        <f t="shared" si="102"/>
        <v>#VALUE!</v>
      </c>
      <c r="K103" s="21" t="e">
        <f t="shared" si="149"/>
        <v>#VALUE!</v>
      </c>
      <c r="L103" s="21" t="e">
        <f t="shared" si="150"/>
        <v>#VALUE!</v>
      </c>
      <c r="M103" s="21" t="e">
        <f t="shared" si="151"/>
        <v>#VALUE!</v>
      </c>
      <c r="N103" s="21" t="e">
        <f t="shared" si="152"/>
        <v>#VALUE!</v>
      </c>
      <c r="O103" s="25" t="str">
        <f>IF('C3 Validation Rubrics'!M32="","",'C3 Validation Rubrics'!M32)</f>
        <v/>
      </c>
      <c r="P103" s="25" t="str">
        <f>IF('C3 Validation Rubrics'!N32="","",'C3 Validation Rubrics'!N32)</f>
        <v/>
      </c>
      <c r="Q103" s="25" t="str">
        <f t="shared" si="105"/>
        <v/>
      </c>
      <c r="R103" s="21" t="str">
        <f>IF('C3 Validation Rubrics'!O32="","",'C3 Validation Rubrics'!O32)</f>
        <v/>
      </c>
    </row>
    <row r="104" spans="1:18" ht="15.75" customHeight="1">
      <c r="A104" s="16" t="s">
        <v>813</v>
      </c>
      <c r="B104" s="16" t="s">
        <v>814</v>
      </c>
      <c r="C104" s="16"/>
      <c r="D104" s="16"/>
      <c r="E104" s="16" t="s">
        <v>1718</v>
      </c>
      <c r="F104" s="16" t="s">
        <v>1718</v>
      </c>
      <c r="G104" s="16" t="s">
        <v>1718</v>
      </c>
      <c r="H104" s="17" t="str">
        <f>IF(COUNT(H105:H106)=0,"",SUM(H105:H106))</f>
        <v/>
      </c>
      <c r="I104" s="17" t="str">
        <f t="shared" si="101"/>
        <v/>
      </c>
      <c r="J104" s="16" t="str">
        <f t="shared" si="102"/>
        <v/>
      </c>
      <c r="K104" s="16" t="e">
        <f t="shared" ref="K104:N104" si="153">SUM(K105:K106)</f>
        <v>#VALUE!</v>
      </c>
      <c r="L104" s="16" t="e">
        <f t="shared" si="153"/>
        <v>#VALUE!</v>
      </c>
      <c r="M104" s="16" t="e">
        <f t="shared" si="153"/>
        <v>#VALUE!</v>
      </c>
      <c r="N104" s="16" t="e">
        <f t="shared" si="153"/>
        <v>#VALUE!</v>
      </c>
      <c r="O104" s="17" t="str">
        <f t="shared" ref="O104:P104" si="154">IF(COUNT(O105:O106)=0,"",SUM(O105:O106))</f>
        <v/>
      </c>
      <c r="P104" s="17" t="str">
        <f t="shared" si="154"/>
        <v/>
      </c>
      <c r="Q104" s="17" t="str">
        <f t="shared" si="105"/>
        <v/>
      </c>
      <c r="R104" s="16"/>
    </row>
    <row r="105" spans="1:18" ht="15.75" customHeight="1">
      <c r="A105" s="21" t="s">
        <v>843</v>
      </c>
      <c r="B105" s="21" t="s">
        <v>844</v>
      </c>
      <c r="C105" s="21" t="s">
        <v>1224</v>
      </c>
      <c r="D105" s="21" t="s">
        <v>101</v>
      </c>
      <c r="E105" s="21" t="s">
        <v>1718</v>
      </c>
      <c r="F105" s="22" t="s">
        <v>1718</v>
      </c>
      <c r="G105" s="22" t="s">
        <v>1718</v>
      </c>
      <c r="H105" s="25" t="e">
        <f t="shared" ref="H105:H106" si="155">IF(OR(G105="",F105="",F105=0),"",ROUND(E105*MIN(G105/F105,1),2))</f>
        <v>#VALUE!</v>
      </c>
      <c r="I105" s="25" t="e">
        <f t="shared" si="101"/>
        <v>#VALUE!</v>
      </c>
      <c r="J105" s="21" t="e">
        <f t="shared" si="102"/>
        <v>#VALUE!</v>
      </c>
      <c r="K105" s="21" t="e">
        <f t="shared" ref="K105:K106" si="156">IF($J105="Y",1,"")</f>
        <v>#VALUE!</v>
      </c>
      <c r="L105" s="21" t="e">
        <f t="shared" ref="L105:L106" si="157">IF($J105="C",1,"")</f>
        <v>#VALUE!</v>
      </c>
      <c r="M105" s="21" t="e">
        <f t="shared" ref="M105:M106" si="158">IF($J105="W",1,"")</f>
        <v>#VALUE!</v>
      </c>
      <c r="N105" s="21" t="e">
        <f t="shared" ref="N105:N106" si="159">IF($J105="D",1,"")</f>
        <v>#VALUE!</v>
      </c>
      <c r="O105" s="25" t="str">
        <f>IF('C3 Validation Rubrics'!M34="","",'C3 Validation Rubrics'!M34)</f>
        <v/>
      </c>
      <c r="P105" s="25" t="str">
        <f>IF('C3 Validation Rubrics'!N34="","",'C3 Validation Rubrics'!N34)</f>
        <v/>
      </c>
      <c r="Q105" s="25" t="str">
        <f t="shared" si="105"/>
        <v/>
      </c>
      <c r="R105" s="21" t="str">
        <f>IF('C3 Validation Rubrics'!O34="","",'C3 Validation Rubrics'!O34)</f>
        <v/>
      </c>
    </row>
    <row r="106" spans="1:18" ht="15.75" customHeight="1">
      <c r="A106" s="21" t="s">
        <v>848</v>
      </c>
      <c r="B106" s="21" t="s">
        <v>849</v>
      </c>
      <c r="C106" s="21" t="s">
        <v>1247</v>
      </c>
      <c r="D106" s="21" t="s">
        <v>101</v>
      </c>
      <c r="E106" s="21" t="s">
        <v>1718</v>
      </c>
      <c r="F106" s="22" t="s">
        <v>1718</v>
      </c>
      <c r="G106" s="22" t="s">
        <v>1718</v>
      </c>
      <c r="H106" s="25" t="e">
        <f t="shared" si="155"/>
        <v>#VALUE!</v>
      </c>
      <c r="I106" s="25" t="e">
        <f t="shared" si="101"/>
        <v>#VALUE!</v>
      </c>
      <c r="J106" s="21" t="e">
        <f t="shared" si="102"/>
        <v>#VALUE!</v>
      </c>
      <c r="K106" s="21" t="e">
        <f t="shared" si="156"/>
        <v>#VALUE!</v>
      </c>
      <c r="L106" s="21" t="e">
        <f t="shared" si="157"/>
        <v>#VALUE!</v>
      </c>
      <c r="M106" s="21" t="e">
        <f t="shared" si="158"/>
        <v>#VALUE!</v>
      </c>
      <c r="N106" s="21" t="e">
        <f t="shared" si="159"/>
        <v>#VALUE!</v>
      </c>
      <c r="O106" s="25" t="str">
        <f>IF('C3 Validation Rubrics'!M35="","",'C3 Validation Rubrics'!M35)</f>
        <v/>
      </c>
      <c r="P106" s="25" t="str">
        <f>IF('C3 Validation Rubrics'!N35="","",'C3 Validation Rubrics'!N35)</f>
        <v/>
      </c>
      <c r="Q106" s="25" t="str">
        <f t="shared" si="105"/>
        <v/>
      </c>
      <c r="R106" s="21" t="str">
        <f>IF('C3 Validation Rubrics'!O35="","",'C3 Validation Rubrics'!O35)</f>
        <v/>
      </c>
    </row>
    <row r="107" spans="1:18" ht="15.75" customHeight="1">
      <c r="A107" s="23" t="s">
        <v>66</v>
      </c>
      <c r="B107" s="23" t="s">
        <v>854</v>
      </c>
      <c r="C107" s="23"/>
      <c r="D107" s="23"/>
      <c r="E107" s="23" t="s">
        <v>1718</v>
      </c>
      <c r="F107" s="23" t="s">
        <v>1718</v>
      </c>
      <c r="G107" s="23" t="s">
        <v>1718</v>
      </c>
      <c r="H107" s="35" t="str">
        <f>IF(COUNT(H79,H83,H86,H90,H93,H97,H100,H104)=0,"",N(H79)+N(H83)+N(H86)+N(H90)+N(H93)+N(H97)+N(H100)+N(H104))</f>
        <v/>
      </c>
      <c r="I107" s="35" t="str">
        <f t="shared" si="101"/>
        <v/>
      </c>
      <c r="J107" s="23" t="str">
        <f t="shared" si="102"/>
        <v/>
      </c>
      <c r="K107" s="23" t="e">
        <f t="shared" ref="K107:N107" si="160">N(K79)+N(K83)+N(K86)+N(K90)+N(K93)+N(K97)+N(K100)+N(K104)</f>
        <v>#VALUE!</v>
      </c>
      <c r="L107" s="23" t="e">
        <f t="shared" si="160"/>
        <v>#VALUE!</v>
      </c>
      <c r="M107" s="23" t="e">
        <f t="shared" si="160"/>
        <v>#VALUE!</v>
      </c>
      <c r="N107" s="23" t="e">
        <f t="shared" si="160"/>
        <v>#VALUE!</v>
      </c>
      <c r="O107" s="35" t="str">
        <f t="shared" ref="O107:P107" si="161">IF(COUNT(O79,O83,O86,O90,O93,O97,O100,O104)=0,"",N(O79)+N(O83)+N(O86)+N(O90)+N(O93)+N(O97)+N(O100)+N(O104))</f>
        <v/>
      </c>
      <c r="P107" s="35" t="str">
        <f t="shared" si="161"/>
        <v/>
      </c>
      <c r="Q107" s="35" t="str">
        <f t="shared" si="105"/>
        <v/>
      </c>
      <c r="R107" s="23"/>
    </row>
    <row r="108" spans="1:18" ht="15.75" customHeight="1">
      <c r="A108" s="13" t="s">
        <v>67</v>
      </c>
      <c r="B108" s="44" t="s">
        <v>1275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6"/>
    </row>
    <row r="109" spans="1:18" ht="15.75" customHeight="1">
      <c r="A109" s="16" t="s">
        <v>841</v>
      </c>
      <c r="B109" s="16" t="s">
        <v>862</v>
      </c>
      <c r="C109" s="16"/>
      <c r="D109" s="16"/>
      <c r="E109" s="16" t="s">
        <v>1718</v>
      </c>
      <c r="F109" s="16" t="s">
        <v>1718</v>
      </c>
      <c r="G109" s="16" t="s">
        <v>1718</v>
      </c>
      <c r="H109" s="17" t="str">
        <f>IF(COUNT(H110)=0,"",SUM(H110))</f>
        <v/>
      </c>
      <c r="I109" s="17" t="str">
        <f t="shared" ref="I109:I134" si="162">IF(H109="","",ROUND(H109/E109*100,2))</f>
        <v/>
      </c>
      <c r="J109" s="16" t="str">
        <f t="shared" ref="J109:J134" si="163">IF(I109="","",IF(I109&gt;YT*100,"Y",IF(I109&gt;=CT*100,"C",IF(I109&gt;=WT*100,"W","D"))))</f>
        <v/>
      </c>
      <c r="K109" s="16" t="e">
        <f t="shared" ref="K109:N109" si="164">SUM(K110)</f>
        <v>#VALUE!</v>
      </c>
      <c r="L109" s="16" t="e">
        <f t="shared" si="164"/>
        <v>#VALUE!</v>
      </c>
      <c r="M109" s="16" t="e">
        <f t="shared" si="164"/>
        <v>#VALUE!</v>
      </c>
      <c r="N109" s="16" t="e">
        <f t="shared" si="164"/>
        <v>#VALUE!</v>
      </c>
      <c r="O109" s="17" t="str">
        <f t="shared" ref="O109:P109" si="165">IF(COUNT(O110)=0,"",SUM(O110))</f>
        <v/>
      </c>
      <c r="P109" s="17" t="str">
        <f t="shared" si="165"/>
        <v/>
      </c>
      <c r="Q109" s="17" t="str">
        <f t="shared" ref="Q109:Q134" si="166">IF(N(O109)=0,"",ROUND(N(P109)/O109*100,2))</f>
        <v/>
      </c>
      <c r="R109" s="16"/>
    </row>
    <row r="110" spans="1:18" ht="15.75" customHeight="1">
      <c r="A110" s="21" t="s">
        <v>868</v>
      </c>
      <c r="B110" s="21" t="s">
        <v>862</v>
      </c>
      <c r="C110" s="21" t="s">
        <v>1292</v>
      </c>
      <c r="D110" s="21" t="s">
        <v>101</v>
      </c>
      <c r="E110" s="21" t="s">
        <v>1718</v>
      </c>
      <c r="F110" s="22" t="s">
        <v>1718</v>
      </c>
      <c r="G110" s="22" t="s">
        <v>1718</v>
      </c>
      <c r="H110" s="25" t="e">
        <f>IF(OR(G110="",F110="",F110=0),"",ROUND(E110*MIN(G110/F110,1),2))</f>
        <v>#VALUE!</v>
      </c>
      <c r="I110" s="25" t="e">
        <f t="shared" si="162"/>
        <v>#VALUE!</v>
      </c>
      <c r="J110" s="21" t="e">
        <f t="shared" si="163"/>
        <v>#VALUE!</v>
      </c>
      <c r="K110" s="21" t="e">
        <f>IF($J110="Y",1,"")</f>
        <v>#VALUE!</v>
      </c>
      <c r="L110" s="21" t="e">
        <f>IF($J110="C",1,"")</f>
        <v>#VALUE!</v>
      </c>
      <c r="M110" s="21" t="e">
        <f>IF($J110="W",1,"")</f>
        <v>#VALUE!</v>
      </c>
      <c r="N110" s="21" t="e">
        <f>IF($J110="D",1,"")</f>
        <v>#VALUE!</v>
      </c>
      <c r="O110" s="25" t="str">
        <f>IF('C4 Validation Rubrics'!M9="","",'C4 Validation Rubrics'!M9)</f>
        <v/>
      </c>
      <c r="P110" s="25" t="str">
        <f>IF('C4 Validation Rubrics'!N9="","",'C4 Validation Rubrics'!N9)</f>
        <v/>
      </c>
      <c r="Q110" s="25" t="str">
        <f t="shared" si="166"/>
        <v/>
      </c>
      <c r="R110" s="21" t="str">
        <f>IF('C4 Validation Rubrics'!O9="","",'C4 Validation Rubrics'!O9)</f>
        <v/>
      </c>
    </row>
    <row r="111" spans="1:18" ht="15.75" customHeight="1">
      <c r="A111" s="16" t="s">
        <v>855</v>
      </c>
      <c r="B111" s="16" t="s">
        <v>886</v>
      </c>
      <c r="C111" s="16"/>
      <c r="D111" s="16"/>
      <c r="E111" s="16" t="s">
        <v>1718</v>
      </c>
      <c r="F111" s="16" t="s">
        <v>1718</v>
      </c>
      <c r="G111" s="16" t="s">
        <v>1718</v>
      </c>
      <c r="H111" s="17" t="str">
        <f>IF(COUNT(H112:H113)=0,"",SUM(H112:H113))</f>
        <v/>
      </c>
      <c r="I111" s="17" t="str">
        <f t="shared" si="162"/>
        <v/>
      </c>
      <c r="J111" s="16" t="str">
        <f t="shared" si="163"/>
        <v/>
      </c>
      <c r="K111" s="16" t="e">
        <f t="shared" ref="K111:N111" si="167">SUM(K112:K113)</f>
        <v>#VALUE!</v>
      </c>
      <c r="L111" s="16" t="e">
        <f t="shared" si="167"/>
        <v>#VALUE!</v>
      </c>
      <c r="M111" s="16" t="e">
        <f t="shared" si="167"/>
        <v>#VALUE!</v>
      </c>
      <c r="N111" s="16" t="e">
        <f t="shared" si="167"/>
        <v>#VALUE!</v>
      </c>
      <c r="O111" s="17" t="str">
        <f t="shared" ref="O111:P111" si="168">IF(COUNT(O112:O113)=0,"",SUM(O112:O113))</f>
        <v/>
      </c>
      <c r="P111" s="17" t="str">
        <f t="shared" si="168"/>
        <v/>
      </c>
      <c r="Q111" s="17" t="str">
        <f t="shared" si="166"/>
        <v/>
      </c>
      <c r="R111" s="16"/>
    </row>
    <row r="112" spans="1:18" ht="15.75" customHeight="1">
      <c r="A112" s="21" t="s">
        <v>889</v>
      </c>
      <c r="B112" s="21" t="s">
        <v>890</v>
      </c>
      <c r="C112" s="21" t="s">
        <v>1313</v>
      </c>
      <c r="D112" s="21" t="s">
        <v>101</v>
      </c>
      <c r="E112" s="21" t="s">
        <v>1718</v>
      </c>
      <c r="F112" s="22" t="s">
        <v>1718</v>
      </c>
      <c r="G112" s="22" t="s">
        <v>1718</v>
      </c>
      <c r="H112" s="25" t="e">
        <f t="shared" ref="H112:H113" si="169">IF(OR(G112="",F112="",F112=0),"",ROUND(E112*MIN(G112/F112,1),2))</f>
        <v>#VALUE!</v>
      </c>
      <c r="I112" s="25" t="e">
        <f t="shared" si="162"/>
        <v>#VALUE!</v>
      </c>
      <c r="J112" s="21" t="e">
        <f t="shared" si="163"/>
        <v>#VALUE!</v>
      </c>
      <c r="K112" s="21" t="e">
        <f t="shared" ref="K112:K113" si="170">IF($J112="Y",1,"")</f>
        <v>#VALUE!</v>
      </c>
      <c r="L112" s="21" t="e">
        <f t="shared" ref="L112:L113" si="171">IF($J112="C",1,"")</f>
        <v>#VALUE!</v>
      </c>
      <c r="M112" s="21" t="e">
        <f t="shared" ref="M112:M113" si="172">IF($J112="W",1,"")</f>
        <v>#VALUE!</v>
      </c>
      <c r="N112" s="21" t="e">
        <f t="shared" ref="N112:N113" si="173">IF($J112="D",1,"")</f>
        <v>#VALUE!</v>
      </c>
      <c r="O112" s="25" t="str">
        <f>IF('C4 Validation Rubrics'!M11="","",'C4 Validation Rubrics'!M11)</f>
        <v/>
      </c>
      <c r="P112" s="25" t="str">
        <f>IF('C4 Validation Rubrics'!N11="","",'C4 Validation Rubrics'!N11)</f>
        <v/>
      </c>
      <c r="Q112" s="25" t="str">
        <f t="shared" si="166"/>
        <v/>
      </c>
      <c r="R112" s="21" t="str">
        <f>IF('C4 Validation Rubrics'!O11="","",'C4 Validation Rubrics'!O11)</f>
        <v/>
      </c>
    </row>
    <row r="113" spans="1:18" ht="15.75" customHeight="1">
      <c r="A113" s="21" t="s">
        <v>900</v>
      </c>
      <c r="B113" s="21" t="s">
        <v>901</v>
      </c>
      <c r="C113" s="21" t="s">
        <v>1320</v>
      </c>
      <c r="D113" s="21" t="s">
        <v>101</v>
      </c>
      <c r="E113" s="21" t="s">
        <v>1718</v>
      </c>
      <c r="F113" s="22" t="s">
        <v>1718</v>
      </c>
      <c r="G113" s="22" t="s">
        <v>1718</v>
      </c>
      <c r="H113" s="25" t="e">
        <f t="shared" si="169"/>
        <v>#VALUE!</v>
      </c>
      <c r="I113" s="25" t="e">
        <f t="shared" si="162"/>
        <v>#VALUE!</v>
      </c>
      <c r="J113" s="21" t="e">
        <f t="shared" si="163"/>
        <v>#VALUE!</v>
      </c>
      <c r="K113" s="21" t="e">
        <f t="shared" si="170"/>
        <v>#VALUE!</v>
      </c>
      <c r="L113" s="21" t="e">
        <f t="shared" si="171"/>
        <v>#VALUE!</v>
      </c>
      <c r="M113" s="21" t="e">
        <f t="shared" si="172"/>
        <v>#VALUE!</v>
      </c>
      <c r="N113" s="21" t="e">
        <f t="shared" si="173"/>
        <v>#VALUE!</v>
      </c>
      <c r="O113" s="25" t="str">
        <f>IF('C4 Validation Rubrics'!M12="","",'C4 Validation Rubrics'!M12)</f>
        <v/>
      </c>
      <c r="P113" s="25" t="str">
        <f>IF('C4 Validation Rubrics'!N12="","",'C4 Validation Rubrics'!N12)</f>
        <v/>
      </c>
      <c r="Q113" s="25" t="str">
        <f t="shared" si="166"/>
        <v/>
      </c>
      <c r="R113" s="21" t="str">
        <f>IF('C4 Validation Rubrics'!O12="","",'C4 Validation Rubrics'!O12)</f>
        <v/>
      </c>
    </row>
    <row r="114" spans="1:18" ht="15.75" customHeight="1">
      <c r="A114" s="16" t="s">
        <v>858</v>
      </c>
      <c r="B114" s="16" t="s">
        <v>913</v>
      </c>
      <c r="C114" s="16"/>
      <c r="D114" s="16"/>
      <c r="E114" s="16" t="s">
        <v>1718</v>
      </c>
      <c r="F114" s="16" t="s">
        <v>1718</v>
      </c>
      <c r="G114" s="16" t="s">
        <v>1718</v>
      </c>
      <c r="H114" s="17" t="str">
        <f>IF(COUNT(H115:H116)=0,"",SUM(H115:H116))</f>
        <v/>
      </c>
      <c r="I114" s="17" t="str">
        <f t="shared" si="162"/>
        <v/>
      </c>
      <c r="J114" s="16" t="str">
        <f t="shared" si="163"/>
        <v/>
      </c>
      <c r="K114" s="16" t="e">
        <f t="shared" ref="K114:N114" si="174">SUM(K115:K116)</f>
        <v>#VALUE!</v>
      </c>
      <c r="L114" s="16" t="e">
        <f t="shared" si="174"/>
        <v>#VALUE!</v>
      </c>
      <c r="M114" s="16" t="e">
        <f t="shared" si="174"/>
        <v>#VALUE!</v>
      </c>
      <c r="N114" s="16" t="e">
        <f t="shared" si="174"/>
        <v>#VALUE!</v>
      </c>
      <c r="O114" s="17" t="str">
        <f t="shared" ref="O114:P114" si="175">IF(COUNT(O115:O116)=0,"",SUM(O115:O116))</f>
        <v/>
      </c>
      <c r="P114" s="17" t="str">
        <f t="shared" si="175"/>
        <v/>
      </c>
      <c r="Q114" s="17" t="str">
        <f t="shared" si="166"/>
        <v/>
      </c>
      <c r="R114" s="16"/>
    </row>
    <row r="115" spans="1:18" ht="15.75" customHeight="1">
      <c r="A115" s="21" t="s">
        <v>916</v>
      </c>
      <c r="B115" s="21" t="s">
        <v>917</v>
      </c>
      <c r="C115" s="21" t="s">
        <v>1324</v>
      </c>
      <c r="D115" s="21" t="s">
        <v>101</v>
      </c>
      <c r="E115" s="21" t="s">
        <v>1718</v>
      </c>
      <c r="F115" s="22" t="s">
        <v>1718</v>
      </c>
      <c r="G115" s="22" t="s">
        <v>1718</v>
      </c>
      <c r="H115" s="25" t="e">
        <f t="shared" ref="H115:H116" si="176">IF(OR(G115="",F115="",F115=0),"",ROUND(E115*MIN(G115/F115,1),2))</f>
        <v>#VALUE!</v>
      </c>
      <c r="I115" s="25" t="e">
        <f t="shared" si="162"/>
        <v>#VALUE!</v>
      </c>
      <c r="J115" s="21" t="e">
        <f t="shared" si="163"/>
        <v>#VALUE!</v>
      </c>
      <c r="K115" s="21" t="e">
        <f t="shared" ref="K115:K116" si="177">IF($J115="Y",1,"")</f>
        <v>#VALUE!</v>
      </c>
      <c r="L115" s="21" t="e">
        <f t="shared" ref="L115:L116" si="178">IF($J115="C",1,"")</f>
        <v>#VALUE!</v>
      </c>
      <c r="M115" s="21" t="e">
        <f t="shared" ref="M115:M116" si="179">IF($J115="W",1,"")</f>
        <v>#VALUE!</v>
      </c>
      <c r="N115" s="21" t="e">
        <f t="shared" ref="N115:N116" si="180">IF($J115="D",1,"")</f>
        <v>#VALUE!</v>
      </c>
      <c r="O115" s="25" t="str">
        <f>IF('C4 Validation Rubrics'!M14="","",'C4 Validation Rubrics'!M14)</f>
        <v/>
      </c>
      <c r="P115" s="25" t="str">
        <f>IF('C4 Validation Rubrics'!N14="","",'C4 Validation Rubrics'!N14)</f>
        <v/>
      </c>
      <c r="Q115" s="25" t="str">
        <f t="shared" si="166"/>
        <v/>
      </c>
      <c r="R115" s="21" t="str">
        <f>IF('C4 Validation Rubrics'!O14="","",'C4 Validation Rubrics'!O14)</f>
        <v/>
      </c>
    </row>
    <row r="116" spans="1:18" ht="15.75" customHeight="1">
      <c r="A116" s="21" t="s">
        <v>927</v>
      </c>
      <c r="B116" s="21" t="s">
        <v>928</v>
      </c>
      <c r="C116" s="21" t="s">
        <v>1331</v>
      </c>
      <c r="D116" s="21" t="s">
        <v>101</v>
      </c>
      <c r="E116" s="21" t="s">
        <v>1718</v>
      </c>
      <c r="F116" s="22" t="s">
        <v>1718</v>
      </c>
      <c r="G116" s="22" t="s">
        <v>1718</v>
      </c>
      <c r="H116" s="25" t="e">
        <f t="shared" si="176"/>
        <v>#VALUE!</v>
      </c>
      <c r="I116" s="25" t="e">
        <f t="shared" si="162"/>
        <v>#VALUE!</v>
      </c>
      <c r="J116" s="21" t="e">
        <f t="shared" si="163"/>
        <v>#VALUE!</v>
      </c>
      <c r="K116" s="21" t="e">
        <f t="shared" si="177"/>
        <v>#VALUE!</v>
      </c>
      <c r="L116" s="21" t="e">
        <f t="shared" si="178"/>
        <v>#VALUE!</v>
      </c>
      <c r="M116" s="21" t="e">
        <f t="shared" si="179"/>
        <v>#VALUE!</v>
      </c>
      <c r="N116" s="21" t="e">
        <f t="shared" si="180"/>
        <v>#VALUE!</v>
      </c>
      <c r="O116" s="25" t="str">
        <f>IF('C4 Validation Rubrics'!M15="","",'C4 Validation Rubrics'!M15)</f>
        <v/>
      </c>
      <c r="P116" s="25" t="str">
        <f>IF('C4 Validation Rubrics'!N15="","",'C4 Validation Rubrics'!N15)</f>
        <v/>
      </c>
      <c r="Q116" s="25" t="str">
        <f t="shared" si="166"/>
        <v/>
      </c>
      <c r="R116" s="21" t="str">
        <f>IF('C4 Validation Rubrics'!O15="","",'C4 Validation Rubrics'!O15)</f>
        <v/>
      </c>
    </row>
    <row r="117" spans="1:18" ht="15.75" customHeight="1">
      <c r="A117" s="16" t="s">
        <v>865</v>
      </c>
      <c r="B117" s="16" t="s">
        <v>942</v>
      </c>
      <c r="C117" s="16"/>
      <c r="D117" s="16"/>
      <c r="E117" s="16" t="s">
        <v>1718</v>
      </c>
      <c r="F117" s="16" t="s">
        <v>1718</v>
      </c>
      <c r="G117" s="16" t="s">
        <v>1718</v>
      </c>
      <c r="H117" s="17" t="str">
        <f>IF(COUNT(H118:H119)=0,"",SUM(H118:H119))</f>
        <v/>
      </c>
      <c r="I117" s="17" t="str">
        <f t="shared" si="162"/>
        <v/>
      </c>
      <c r="J117" s="16" t="str">
        <f t="shared" si="163"/>
        <v/>
      </c>
      <c r="K117" s="16" t="e">
        <f t="shared" ref="K117:N117" si="181">SUM(K118:K119)</f>
        <v>#VALUE!</v>
      </c>
      <c r="L117" s="16" t="e">
        <f t="shared" si="181"/>
        <v>#VALUE!</v>
      </c>
      <c r="M117" s="16" t="e">
        <f t="shared" si="181"/>
        <v>#VALUE!</v>
      </c>
      <c r="N117" s="16" t="e">
        <f t="shared" si="181"/>
        <v>#VALUE!</v>
      </c>
      <c r="O117" s="17" t="str">
        <f t="shared" ref="O117:P117" si="182">IF(COUNT(O118:O119)=0,"",SUM(O118:O119))</f>
        <v/>
      </c>
      <c r="P117" s="17" t="str">
        <f t="shared" si="182"/>
        <v/>
      </c>
      <c r="Q117" s="17" t="str">
        <f t="shared" si="166"/>
        <v/>
      </c>
      <c r="R117" s="16"/>
    </row>
    <row r="118" spans="1:18" ht="15.75" customHeight="1">
      <c r="A118" s="21" t="s">
        <v>947</v>
      </c>
      <c r="B118" s="21" t="s">
        <v>948</v>
      </c>
      <c r="C118" s="21" t="s">
        <v>1343</v>
      </c>
      <c r="D118" s="21" t="s">
        <v>101</v>
      </c>
      <c r="E118" s="21" t="s">
        <v>1718</v>
      </c>
      <c r="F118" s="22" t="s">
        <v>1718</v>
      </c>
      <c r="G118" s="22" t="s">
        <v>1718</v>
      </c>
      <c r="H118" s="25" t="e">
        <f t="shared" ref="H118:H119" si="183">IF(OR(G118="",F118="",F118=0),"",ROUND(E118*MIN(G118/F118,1),2))</f>
        <v>#VALUE!</v>
      </c>
      <c r="I118" s="25" t="e">
        <f t="shared" si="162"/>
        <v>#VALUE!</v>
      </c>
      <c r="J118" s="21" t="e">
        <f t="shared" si="163"/>
        <v>#VALUE!</v>
      </c>
      <c r="K118" s="21" t="e">
        <f t="shared" ref="K118:K119" si="184">IF($J118="Y",1,"")</f>
        <v>#VALUE!</v>
      </c>
      <c r="L118" s="21" t="e">
        <f t="shared" ref="L118:L119" si="185">IF($J118="C",1,"")</f>
        <v>#VALUE!</v>
      </c>
      <c r="M118" s="21" t="e">
        <f t="shared" ref="M118:M119" si="186">IF($J118="W",1,"")</f>
        <v>#VALUE!</v>
      </c>
      <c r="N118" s="21" t="e">
        <f t="shared" ref="N118:N119" si="187">IF($J118="D",1,"")</f>
        <v>#VALUE!</v>
      </c>
      <c r="O118" s="25" t="str">
        <f>IF('C4 Validation Rubrics'!M17="","",'C4 Validation Rubrics'!M17)</f>
        <v/>
      </c>
      <c r="P118" s="25" t="str">
        <f>IF('C4 Validation Rubrics'!N17="","",'C4 Validation Rubrics'!N17)</f>
        <v/>
      </c>
      <c r="Q118" s="25" t="str">
        <f t="shared" si="166"/>
        <v/>
      </c>
      <c r="R118" s="21" t="str">
        <f>IF('C4 Validation Rubrics'!O17="","",'C4 Validation Rubrics'!O17)</f>
        <v/>
      </c>
    </row>
    <row r="119" spans="1:18" ht="15.75" customHeight="1">
      <c r="A119" s="21" t="s">
        <v>958</v>
      </c>
      <c r="B119" s="21" t="s">
        <v>959</v>
      </c>
      <c r="C119" s="21" t="s">
        <v>1349</v>
      </c>
      <c r="D119" s="21" t="s">
        <v>101</v>
      </c>
      <c r="E119" s="21" t="s">
        <v>1718</v>
      </c>
      <c r="F119" s="22" t="s">
        <v>1718</v>
      </c>
      <c r="G119" s="22" t="s">
        <v>1718</v>
      </c>
      <c r="H119" s="25" t="e">
        <f t="shared" si="183"/>
        <v>#VALUE!</v>
      </c>
      <c r="I119" s="25" t="e">
        <f t="shared" si="162"/>
        <v>#VALUE!</v>
      </c>
      <c r="J119" s="21" t="e">
        <f t="shared" si="163"/>
        <v>#VALUE!</v>
      </c>
      <c r="K119" s="21" t="e">
        <f t="shared" si="184"/>
        <v>#VALUE!</v>
      </c>
      <c r="L119" s="21" t="e">
        <f t="shared" si="185"/>
        <v>#VALUE!</v>
      </c>
      <c r="M119" s="21" t="e">
        <f t="shared" si="186"/>
        <v>#VALUE!</v>
      </c>
      <c r="N119" s="21" t="e">
        <f t="shared" si="187"/>
        <v>#VALUE!</v>
      </c>
      <c r="O119" s="25" t="str">
        <f>IF('C4 Validation Rubrics'!M18="","",'C4 Validation Rubrics'!M18)</f>
        <v/>
      </c>
      <c r="P119" s="25" t="str">
        <f>IF('C4 Validation Rubrics'!N18="","",'C4 Validation Rubrics'!N18)</f>
        <v/>
      </c>
      <c r="Q119" s="25" t="str">
        <f t="shared" si="166"/>
        <v/>
      </c>
      <c r="R119" s="21" t="str">
        <f>IF('C4 Validation Rubrics'!O18="","",'C4 Validation Rubrics'!O18)</f>
        <v/>
      </c>
    </row>
    <row r="120" spans="1:18" ht="15.75" customHeight="1">
      <c r="A120" s="16" t="s">
        <v>884</v>
      </c>
      <c r="B120" s="16" t="s">
        <v>963</v>
      </c>
      <c r="C120" s="16"/>
      <c r="D120" s="16"/>
      <c r="E120" s="16" t="s">
        <v>1718</v>
      </c>
      <c r="F120" s="16" t="s">
        <v>1718</v>
      </c>
      <c r="G120" s="16" t="s">
        <v>1718</v>
      </c>
      <c r="H120" s="17" t="str">
        <f>IF(COUNT(H121:H122)=0,"",SUM(H121:H122))</f>
        <v/>
      </c>
      <c r="I120" s="17" t="str">
        <f t="shared" si="162"/>
        <v/>
      </c>
      <c r="J120" s="16" t="str">
        <f t="shared" si="163"/>
        <v/>
      </c>
      <c r="K120" s="16" t="e">
        <f t="shared" ref="K120:N120" si="188">SUM(K121:K122)</f>
        <v>#VALUE!</v>
      </c>
      <c r="L120" s="16" t="e">
        <f t="shared" si="188"/>
        <v>#VALUE!</v>
      </c>
      <c r="M120" s="16" t="e">
        <f t="shared" si="188"/>
        <v>#VALUE!</v>
      </c>
      <c r="N120" s="16" t="e">
        <f t="shared" si="188"/>
        <v>#VALUE!</v>
      </c>
      <c r="O120" s="17" t="str">
        <f t="shared" ref="O120:P120" si="189">IF(COUNT(O121:O122)=0,"",SUM(O121:O122))</f>
        <v/>
      </c>
      <c r="P120" s="17" t="str">
        <f t="shared" si="189"/>
        <v/>
      </c>
      <c r="Q120" s="17" t="str">
        <f t="shared" si="166"/>
        <v/>
      </c>
      <c r="R120" s="16"/>
    </row>
    <row r="121" spans="1:18" ht="15.75" customHeight="1">
      <c r="A121" s="21" t="s">
        <v>971</v>
      </c>
      <c r="B121" s="21" t="s">
        <v>972</v>
      </c>
      <c r="C121" s="21" t="s">
        <v>1357</v>
      </c>
      <c r="D121" s="21" t="s">
        <v>101</v>
      </c>
      <c r="E121" s="21" t="s">
        <v>1718</v>
      </c>
      <c r="F121" s="22" t="s">
        <v>1718</v>
      </c>
      <c r="G121" s="22" t="s">
        <v>1718</v>
      </c>
      <c r="H121" s="25" t="e">
        <f t="shared" ref="H121:H122" si="190">IF(OR(G121="",F121="",F121=0),"",ROUND(E121*MIN(G121/F121,1),2))</f>
        <v>#VALUE!</v>
      </c>
      <c r="I121" s="25" t="e">
        <f t="shared" si="162"/>
        <v>#VALUE!</v>
      </c>
      <c r="J121" s="21" t="e">
        <f t="shared" si="163"/>
        <v>#VALUE!</v>
      </c>
      <c r="K121" s="21" t="e">
        <f t="shared" ref="K121:K122" si="191">IF($J121="Y",1,"")</f>
        <v>#VALUE!</v>
      </c>
      <c r="L121" s="21" t="e">
        <f t="shared" ref="L121:L122" si="192">IF($J121="C",1,"")</f>
        <v>#VALUE!</v>
      </c>
      <c r="M121" s="21" t="e">
        <f t="shared" ref="M121:M122" si="193">IF($J121="W",1,"")</f>
        <v>#VALUE!</v>
      </c>
      <c r="N121" s="21" t="e">
        <f t="shared" ref="N121:N122" si="194">IF($J121="D",1,"")</f>
        <v>#VALUE!</v>
      </c>
      <c r="O121" s="25" t="str">
        <f>IF('C4 Validation Rubrics'!M20="","",'C4 Validation Rubrics'!M20)</f>
        <v/>
      </c>
      <c r="P121" s="25" t="str">
        <f>IF('C4 Validation Rubrics'!N20="","",'C4 Validation Rubrics'!N20)</f>
        <v/>
      </c>
      <c r="Q121" s="25" t="str">
        <f t="shared" si="166"/>
        <v/>
      </c>
      <c r="R121" s="21" t="str">
        <f>IF('C4 Validation Rubrics'!O20="","",'C4 Validation Rubrics'!O20)</f>
        <v/>
      </c>
    </row>
    <row r="122" spans="1:18" ht="15.75" customHeight="1">
      <c r="A122" s="21" t="s">
        <v>976</v>
      </c>
      <c r="B122" s="21" t="s">
        <v>977</v>
      </c>
      <c r="C122" s="21" t="s">
        <v>1359</v>
      </c>
      <c r="D122" s="21" t="s">
        <v>101</v>
      </c>
      <c r="E122" s="21" t="s">
        <v>1718</v>
      </c>
      <c r="F122" s="22" t="s">
        <v>1718</v>
      </c>
      <c r="G122" s="22" t="s">
        <v>1718</v>
      </c>
      <c r="H122" s="25" t="e">
        <f t="shared" si="190"/>
        <v>#VALUE!</v>
      </c>
      <c r="I122" s="25" t="e">
        <f t="shared" si="162"/>
        <v>#VALUE!</v>
      </c>
      <c r="J122" s="21" t="e">
        <f t="shared" si="163"/>
        <v>#VALUE!</v>
      </c>
      <c r="K122" s="21" t="e">
        <f t="shared" si="191"/>
        <v>#VALUE!</v>
      </c>
      <c r="L122" s="21" t="e">
        <f t="shared" si="192"/>
        <v>#VALUE!</v>
      </c>
      <c r="M122" s="21" t="e">
        <f t="shared" si="193"/>
        <v>#VALUE!</v>
      </c>
      <c r="N122" s="21" t="e">
        <f t="shared" si="194"/>
        <v>#VALUE!</v>
      </c>
      <c r="O122" s="25" t="str">
        <f>IF('C4 Validation Rubrics'!M21="","",'C4 Validation Rubrics'!M21)</f>
        <v/>
      </c>
      <c r="P122" s="25" t="str">
        <f>IF('C4 Validation Rubrics'!N21="","",'C4 Validation Rubrics'!N21)</f>
        <v/>
      </c>
      <c r="Q122" s="25" t="str">
        <f t="shared" si="166"/>
        <v/>
      </c>
      <c r="R122" s="21" t="str">
        <f>IF('C4 Validation Rubrics'!O21="","",'C4 Validation Rubrics'!O21)</f>
        <v/>
      </c>
    </row>
    <row r="123" spans="1:18" ht="15.75" customHeight="1">
      <c r="A123" s="16" t="s">
        <v>888</v>
      </c>
      <c r="B123" s="16" t="s">
        <v>891</v>
      </c>
      <c r="C123" s="16"/>
      <c r="D123" s="16"/>
      <c r="E123" s="16" t="s">
        <v>1718</v>
      </c>
      <c r="F123" s="16" t="s">
        <v>1718</v>
      </c>
      <c r="G123" s="16" t="s">
        <v>1718</v>
      </c>
      <c r="H123" s="17" t="str">
        <f>IF(COUNT(H124:H127)=0,"",SUM(H124:H127))</f>
        <v/>
      </c>
      <c r="I123" s="17" t="str">
        <f t="shared" si="162"/>
        <v/>
      </c>
      <c r="J123" s="16" t="str">
        <f t="shared" si="163"/>
        <v/>
      </c>
      <c r="K123" s="16" t="e">
        <f t="shared" ref="K123:N123" si="195">SUM(K124:K127)</f>
        <v>#VALUE!</v>
      </c>
      <c r="L123" s="16" t="e">
        <f t="shared" si="195"/>
        <v>#VALUE!</v>
      </c>
      <c r="M123" s="16" t="e">
        <f t="shared" si="195"/>
        <v>#VALUE!</v>
      </c>
      <c r="N123" s="16" t="e">
        <f t="shared" si="195"/>
        <v>#VALUE!</v>
      </c>
      <c r="O123" s="17" t="str">
        <f t="shared" ref="O123:P123" si="196">IF(COUNT(O124:O127)=0,"",SUM(O124:O127))</f>
        <v/>
      </c>
      <c r="P123" s="17" t="str">
        <f t="shared" si="196"/>
        <v/>
      </c>
      <c r="Q123" s="17" t="str">
        <f t="shared" si="166"/>
        <v/>
      </c>
      <c r="R123" s="16"/>
    </row>
    <row r="124" spans="1:18" ht="15.75" customHeight="1">
      <c r="A124" s="21" t="s">
        <v>980</v>
      </c>
      <c r="B124" s="21" t="s">
        <v>981</v>
      </c>
      <c r="C124" s="21" t="s">
        <v>1365</v>
      </c>
      <c r="D124" s="21" t="s">
        <v>101</v>
      </c>
      <c r="E124" s="21" t="s">
        <v>1718</v>
      </c>
      <c r="F124" s="22" t="s">
        <v>1718</v>
      </c>
      <c r="G124" s="22" t="s">
        <v>1718</v>
      </c>
      <c r="H124" s="25" t="e">
        <f t="shared" ref="H124:H127" si="197">IF(OR(G124="",F124="",F124=0),"",ROUND(E124*MIN(G124/F124,1),2))</f>
        <v>#VALUE!</v>
      </c>
      <c r="I124" s="25" t="e">
        <f t="shared" si="162"/>
        <v>#VALUE!</v>
      </c>
      <c r="J124" s="21" t="e">
        <f t="shared" si="163"/>
        <v>#VALUE!</v>
      </c>
      <c r="K124" s="21" t="e">
        <f t="shared" ref="K124:K127" si="198">IF($J124="Y",1,"")</f>
        <v>#VALUE!</v>
      </c>
      <c r="L124" s="21" t="e">
        <f t="shared" ref="L124:L127" si="199">IF($J124="C",1,"")</f>
        <v>#VALUE!</v>
      </c>
      <c r="M124" s="21" t="e">
        <f t="shared" ref="M124:M127" si="200">IF($J124="W",1,"")</f>
        <v>#VALUE!</v>
      </c>
      <c r="N124" s="21" t="e">
        <f t="shared" ref="N124:N127" si="201">IF($J124="D",1,"")</f>
        <v>#VALUE!</v>
      </c>
      <c r="O124" s="25" t="str">
        <f>IF('C4 Validation Rubrics'!M23="","",'C4 Validation Rubrics'!M23)</f>
        <v/>
      </c>
      <c r="P124" s="25" t="str">
        <f>IF('C4 Validation Rubrics'!N23="","",'C4 Validation Rubrics'!N23)</f>
        <v/>
      </c>
      <c r="Q124" s="25" t="str">
        <f t="shared" si="166"/>
        <v/>
      </c>
      <c r="R124" s="21" t="str">
        <f>IF('C4 Validation Rubrics'!O23="","",'C4 Validation Rubrics'!O23)</f>
        <v/>
      </c>
    </row>
    <row r="125" spans="1:18" ht="15.75" customHeight="1">
      <c r="A125" s="21" t="s">
        <v>990</v>
      </c>
      <c r="B125" s="21" t="s">
        <v>991</v>
      </c>
      <c r="C125" s="21" t="s">
        <v>1374</v>
      </c>
      <c r="D125" s="21" t="s">
        <v>101</v>
      </c>
      <c r="E125" s="21" t="s">
        <v>1718</v>
      </c>
      <c r="F125" s="22" t="s">
        <v>1718</v>
      </c>
      <c r="G125" s="22" t="s">
        <v>1718</v>
      </c>
      <c r="H125" s="25" t="e">
        <f t="shared" si="197"/>
        <v>#VALUE!</v>
      </c>
      <c r="I125" s="25" t="e">
        <f t="shared" si="162"/>
        <v>#VALUE!</v>
      </c>
      <c r="J125" s="21" t="e">
        <f t="shared" si="163"/>
        <v>#VALUE!</v>
      </c>
      <c r="K125" s="21" t="e">
        <f t="shared" si="198"/>
        <v>#VALUE!</v>
      </c>
      <c r="L125" s="21" t="e">
        <f t="shared" si="199"/>
        <v>#VALUE!</v>
      </c>
      <c r="M125" s="21" t="e">
        <f t="shared" si="200"/>
        <v>#VALUE!</v>
      </c>
      <c r="N125" s="21" t="e">
        <f t="shared" si="201"/>
        <v>#VALUE!</v>
      </c>
      <c r="O125" s="25" t="str">
        <f>IF('C4 Validation Rubrics'!M24="","",'C4 Validation Rubrics'!M24)</f>
        <v/>
      </c>
      <c r="P125" s="25" t="str">
        <f>IF('C4 Validation Rubrics'!N24="","",'C4 Validation Rubrics'!N24)</f>
        <v/>
      </c>
      <c r="Q125" s="25" t="str">
        <f t="shared" si="166"/>
        <v/>
      </c>
      <c r="R125" s="21" t="str">
        <f>IF('C4 Validation Rubrics'!O24="","",'C4 Validation Rubrics'!O24)</f>
        <v/>
      </c>
    </row>
    <row r="126" spans="1:18" ht="15.75" customHeight="1">
      <c r="A126" s="21" t="s">
        <v>993</v>
      </c>
      <c r="B126" s="21" t="s">
        <v>994</v>
      </c>
      <c r="C126" s="21" t="s">
        <v>1383</v>
      </c>
      <c r="D126" s="21" t="s">
        <v>263</v>
      </c>
      <c r="E126" s="21" t="s">
        <v>1718</v>
      </c>
      <c r="F126" s="22" t="s">
        <v>1718</v>
      </c>
      <c r="G126" s="22" t="s">
        <v>1718</v>
      </c>
      <c r="H126" s="25" t="e">
        <f t="shared" si="197"/>
        <v>#VALUE!</v>
      </c>
      <c r="I126" s="25" t="e">
        <f t="shared" si="162"/>
        <v>#VALUE!</v>
      </c>
      <c r="J126" s="21" t="e">
        <f t="shared" si="163"/>
        <v>#VALUE!</v>
      </c>
      <c r="K126" s="21" t="e">
        <f t="shared" si="198"/>
        <v>#VALUE!</v>
      </c>
      <c r="L126" s="21" t="e">
        <f t="shared" si="199"/>
        <v>#VALUE!</v>
      </c>
      <c r="M126" s="21" t="e">
        <f t="shared" si="200"/>
        <v>#VALUE!</v>
      </c>
      <c r="N126" s="21" t="e">
        <f t="shared" si="201"/>
        <v>#VALUE!</v>
      </c>
      <c r="O126" s="25" t="str">
        <f>IF('C4 Validation Rubrics'!M25="","",'C4 Validation Rubrics'!M25)</f>
        <v/>
      </c>
      <c r="P126" s="25" t="str">
        <f>IF('C4 Validation Rubrics'!N25="","",'C4 Validation Rubrics'!N25)</f>
        <v/>
      </c>
      <c r="Q126" s="25" t="str">
        <f t="shared" si="166"/>
        <v/>
      </c>
      <c r="R126" s="21" t="str">
        <f>IF('C4 Validation Rubrics'!O25="","",'C4 Validation Rubrics'!O25)</f>
        <v/>
      </c>
    </row>
    <row r="127" spans="1:18" ht="15.75" customHeight="1">
      <c r="A127" s="21" t="s">
        <v>1006</v>
      </c>
      <c r="B127" s="21" t="s">
        <v>1008</v>
      </c>
      <c r="C127" s="21" t="s">
        <v>1385</v>
      </c>
      <c r="D127" s="21" t="s">
        <v>263</v>
      </c>
      <c r="E127" s="21" t="s">
        <v>1718</v>
      </c>
      <c r="F127" s="22" t="s">
        <v>1718</v>
      </c>
      <c r="G127" s="22" t="s">
        <v>1718</v>
      </c>
      <c r="H127" s="25" t="e">
        <f t="shared" si="197"/>
        <v>#VALUE!</v>
      </c>
      <c r="I127" s="25" t="e">
        <f t="shared" si="162"/>
        <v>#VALUE!</v>
      </c>
      <c r="J127" s="21" t="e">
        <f t="shared" si="163"/>
        <v>#VALUE!</v>
      </c>
      <c r="K127" s="21" t="e">
        <f t="shared" si="198"/>
        <v>#VALUE!</v>
      </c>
      <c r="L127" s="21" t="e">
        <f t="shared" si="199"/>
        <v>#VALUE!</v>
      </c>
      <c r="M127" s="21" t="e">
        <f t="shared" si="200"/>
        <v>#VALUE!</v>
      </c>
      <c r="N127" s="21" t="e">
        <f t="shared" si="201"/>
        <v>#VALUE!</v>
      </c>
      <c r="O127" s="25" t="str">
        <f>IF('C4 Validation Rubrics'!M26="","",'C4 Validation Rubrics'!M26)</f>
        <v/>
      </c>
      <c r="P127" s="25" t="str">
        <f>IF('C4 Validation Rubrics'!N26="","",'C4 Validation Rubrics'!N26)</f>
        <v/>
      </c>
      <c r="Q127" s="25" t="str">
        <f t="shared" si="166"/>
        <v/>
      </c>
      <c r="R127" s="21" t="str">
        <f>IF('C4 Validation Rubrics'!O26="","",'C4 Validation Rubrics'!O26)</f>
        <v/>
      </c>
    </row>
    <row r="128" spans="1:18" ht="15.75" customHeight="1">
      <c r="A128" s="16" t="s">
        <v>904</v>
      </c>
      <c r="B128" s="16" t="s">
        <v>1016</v>
      </c>
      <c r="C128" s="16"/>
      <c r="D128" s="16"/>
      <c r="E128" s="16" t="s">
        <v>1718</v>
      </c>
      <c r="F128" s="16" t="s">
        <v>1718</v>
      </c>
      <c r="G128" s="16" t="s">
        <v>1718</v>
      </c>
      <c r="H128" s="17" t="str">
        <f>IF(COUNT(H129:H133)=0,"",SUM(H129:H133))</f>
        <v/>
      </c>
      <c r="I128" s="17" t="str">
        <f t="shared" si="162"/>
        <v/>
      </c>
      <c r="J128" s="16" t="str">
        <f t="shared" si="163"/>
        <v/>
      </c>
      <c r="K128" s="16" t="e">
        <f t="shared" ref="K128:N128" si="202">SUM(K129:K133)</f>
        <v>#VALUE!</v>
      </c>
      <c r="L128" s="16" t="e">
        <f t="shared" si="202"/>
        <v>#VALUE!</v>
      </c>
      <c r="M128" s="16" t="e">
        <f t="shared" si="202"/>
        <v>#VALUE!</v>
      </c>
      <c r="N128" s="16" t="e">
        <f t="shared" si="202"/>
        <v>#VALUE!</v>
      </c>
      <c r="O128" s="17" t="str">
        <f t="shared" ref="O128:P128" si="203">IF(COUNT(O129:O133)=0,"",SUM(O129:O133))</f>
        <v/>
      </c>
      <c r="P128" s="17" t="str">
        <f t="shared" si="203"/>
        <v/>
      </c>
      <c r="Q128" s="17" t="str">
        <f t="shared" si="166"/>
        <v/>
      </c>
      <c r="R128" s="16"/>
    </row>
    <row r="129" spans="1:18" ht="15.75" customHeight="1">
      <c r="A129" s="21" t="s">
        <v>1017</v>
      </c>
      <c r="B129" s="21" t="s">
        <v>1018</v>
      </c>
      <c r="C129" s="21" t="s">
        <v>1394</v>
      </c>
      <c r="D129" s="21" t="s">
        <v>263</v>
      </c>
      <c r="E129" s="21" t="s">
        <v>1718</v>
      </c>
      <c r="F129" s="22" t="s">
        <v>1718</v>
      </c>
      <c r="G129" s="22" t="s">
        <v>1718</v>
      </c>
      <c r="H129" s="25" t="e">
        <f t="shared" ref="H129:H133" si="204">IF(OR(G129="",F129="",F129=0),"",ROUND(E129*MIN(G129/F129,1),2))</f>
        <v>#VALUE!</v>
      </c>
      <c r="I129" s="25" t="e">
        <f t="shared" si="162"/>
        <v>#VALUE!</v>
      </c>
      <c r="J129" s="21" t="e">
        <f t="shared" si="163"/>
        <v>#VALUE!</v>
      </c>
      <c r="K129" s="21" t="e">
        <f t="shared" ref="K129:K133" si="205">IF($J129="Y",1,"")</f>
        <v>#VALUE!</v>
      </c>
      <c r="L129" s="21" t="e">
        <f t="shared" ref="L129:L133" si="206">IF($J129="C",1,"")</f>
        <v>#VALUE!</v>
      </c>
      <c r="M129" s="21" t="e">
        <f t="shared" ref="M129:M133" si="207">IF($J129="W",1,"")</f>
        <v>#VALUE!</v>
      </c>
      <c r="N129" s="21" t="e">
        <f t="shared" ref="N129:N133" si="208">IF($J129="D",1,"")</f>
        <v>#VALUE!</v>
      </c>
      <c r="O129" s="25" t="str">
        <f>IF('C4 Validation Rubrics'!M28="","",'C4 Validation Rubrics'!M28)</f>
        <v/>
      </c>
      <c r="P129" s="25" t="str">
        <f>IF('C4 Validation Rubrics'!N28="","",'C4 Validation Rubrics'!N28)</f>
        <v/>
      </c>
      <c r="Q129" s="25" t="str">
        <f t="shared" si="166"/>
        <v/>
      </c>
      <c r="R129" s="21" t="str">
        <f>IF('C4 Validation Rubrics'!O28="","",'C4 Validation Rubrics'!O28)</f>
        <v/>
      </c>
    </row>
    <row r="130" spans="1:18" ht="15.75" customHeight="1">
      <c r="A130" s="21" t="s">
        <v>1035</v>
      </c>
      <c r="B130" s="21" t="s">
        <v>1036</v>
      </c>
      <c r="C130" s="21" t="s">
        <v>1403</v>
      </c>
      <c r="D130" s="21" t="s">
        <v>101</v>
      </c>
      <c r="E130" s="21" t="s">
        <v>1718</v>
      </c>
      <c r="F130" s="22" t="s">
        <v>1718</v>
      </c>
      <c r="G130" s="22" t="s">
        <v>1718</v>
      </c>
      <c r="H130" s="25" t="e">
        <f t="shared" si="204"/>
        <v>#VALUE!</v>
      </c>
      <c r="I130" s="25" t="e">
        <f t="shared" si="162"/>
        <v>#VALUE!</v>
      </c>
      <c r="J130" s="21" t="e">
        <f t="shared" si="163"/>
        <v>#VALUE!</v>
      </c>
      <c r="K130" s="21" t="e">
        <f t="shared" si="205"/>
        <v>#VALUE!</v>
      </c>
      <c r="L130" s="21" t="e">
        <f t="shared" si="206"/>
        <v>#VALUE!</v>
      </c>
      <c r="M130" s="21" t="e">
        <f t="shared" si="207"/>
        <v>#VALUE!</v>
      </c>
      <c r="N130" s="21" t="e">
        <f t="shared" si="208"/>
        <v>#VALUE!</v>
      </c>
      <c r="O130" s="25" t="str">
        <f>IF('C4 Validation Rubrics'!M29="","",'C4 Validation Rubrics'!M29)</f>
        <v/>
      </c>
      <c r="P130" s="25" t="str">
        <f>IF('C4 Validation Rubrics'!N29="","",'C4 Validation Rubrics'!N29)</f>
        <v/>
      </c>
      <c r="Q130" s="25" t="str">
        <f t="shared" si="166"/>
        <v/>
      </c>
      <c r="R130" s="21" t="str">
        <f>IF('C4 Validation Rubrics'!O29="","",'C4 Validation Rubrics'!O29)</f>
        <v/>
      </c>
    </row>
    <row r="131" spans="1:18" ht="15.75" customHeight="1">
      <c r="A131" s="21" t="s">
        <v>1049</v>
      </c>
      <c r="B131" s="21" t="s">
        <v>1050</v>
      </c>
      <c r="C131" s="21" t="s">
        <v>1407</v>
      </c>
      <c r="D131" s="21" t="s">
        <v>263</v>
      </c>
      <c r="E131" s="21" t="s">
        <v>1718</v>
      </c>
      <c r="F131" s="22" t="s">
        <v>1718</v>
      </c>
      <c r="G131" s="22" t="s">
        <v>1718</v>
      </c>
      <c r="H131" s="25" t="e">
        <f t="shared" si="204"/>
        <v>#VALUE!</v>
      </c>
      <c r="I131" s="25" t="e">
        <f t="shared" si="162"/>
        <v>#VALUE!</v>
      </c>
      <c r="J131" s="21" t="e">
        <f t="shared" si="163"/>
        <v>#VALUE!</v>
      </c>
      <c r="K131" s="21" t="e">
        <f t="shared" si="205"/>
        <v>#VALUE!</v>
      </c>
      <c r="L131" s="21" t="e">
        <f t="shared" si="206"/>
        <v>#VALUE!</v>
      </c>
      <c r="M131" s="21" t="e">
        <f t="shared" si="207"/>
        <v>#VALUE!</v>
      </c>
      <c r="N131" s="21" t="e">
        <f t="shared" si="208"/>
        <v>#VALUE!</v>
      </c>
      <c r="O131" s="25" t="str">
        <f>IF('C4 Validation Rubrics'!M30="","",'C4 Validation Rubrics'!M30)</f>
        <v/>
      </c>
      <c r="P131" s="25" t="str">
        <f>IF('C4 Validation Rubrics'!N30="","",'C4 Validation Rubrics'!N30)</f>
        <v/>
      </c>
      <c r="Q131" s="25" t="str">
        <f t="shared" si="166"/>
        <v/>
      </c>
      <c r="R131" s="21" t="str">
        <f>IF('C4 Validation Rubrics'!O30="","",'C4 Validation Rubrics'!O30)</f>
        <v/>
      </c>
    </row>
    <row r="132" spans="1:18" ht="15.75" customHeight="1">
      <c r="A132" s="21" t="s">
        <v>1061</v>
      </c>
      <c r="B132" s="21" t="s">
        <v>1062</v>
      </c>
      <c r="C132" s="21" t="s">
        <v>1410</v>
      </c>
      <c r="D132" s="21" t="s">
        <v>263</v>
      </c>
      <c r="E132" s="21" t="s">
        <v>1718</v>
      </c>
      <c r="F132" s="22" t="s">
        <v>1718</v>
      </c>
      <c r="G132" s="22" t="s">
        <v>1718</v>
      </c>
      <c r="H132" s="25" t="e">
        <f t="shared" si="204"/>
        <v>#VALUE!</v>
      </c>
      <c r="I132" s="25" t="e">
        <f t="shared" si="162"/>
        <v>#VALUE!</v>
      </c>
      <c r="J132" s="21" t="e">
        <f t="shared" si="163"/>
        <v>#VALUE!</v>
      </c>
      <c r="K132" s="21" t="e">
        <f t="shared" si="205"/>
        <v>#VALUE!</v>
      </c>
      <c r="L132" s="21" t="e">
        <f t="shared" si="206"/>
        <v>#VALUE!</v>
      </c>
      <c r="M132" s="21" t="e">
        <f t="shared" si="207"/>
        <v>#VALUE!</v>
      </c>
      <c r="N132" s="21" t="e">
        <f t="shared" si="208"/>
        <v>#VALUE!</v>
      </c>
      <c r="O132" s="25" t="str">
        <f>IF('C4 Validation Rubrics'!M31="","",'C4 Validation Rubrics'!M31)</f>
        <v/>
      </c>
      <c r="P132" s="25" t="str">
        <f>IF('C4 Validation Rubrics'!N31="","",'C4 Validation Rubrics'!N31)</f>
        <v/>
      </c>
      <c r="Q132" s="25" t="str">
        <f t="shared" si="166"/>
        <v/>
      </c>
      <c r="R132" s="21" t="str">
        <f>IF('C4 Validation Rubrics'!O31="","",'C4 Validation Rubrics'!O31)</f>
        <v/>
      </c>
    </row>
    <row r="133" spans="1:18" ht="15.75" customHeight="1">
      <c r="A133" s="21" t="s">
        <v>1077</v>
      </c>
      <c r="B133" s="21" t="s">
        <v>1078</v>
      </c>
      <c r="C133" s="21" t="s">
        <v>1414</v>
      </c>
      <c r="D133" s="21" t="s">
        <v>263</v>
      </c>
      <c r="E133" s="21" t="s">
        <v>1718</v>
      </c>
      <c r="F133" s="22" t="s">
        <v>1718</v>
      </c>
      <c r="G133" s="22" t="s">
        <v>1718</v>
      </c>
      <c r="H133" s="25" t="e">
        <f t="shared" si="204"/>
        <v>#VALUE!</v>
      </c>
      <c r="I133" s="25" t="e">
        <f t="shared" si="162"/>
        <v>#VALUE!</v>
      </c>
      <c r="J133" s="21" t="e">
        <f t="shared" si="163"/>
        <v>#VALUE!</v>
      </c>
      <c r="K133" s="21" t="e">
        <f t="shared" si="205"/>
        <v>#VALUE!</v>
      </c>
      <c r="L133" s="21" t="e">
        <f t="shared" si="206"/>
        <v>#VALUE!</v>
      </c>
      <c r="M133" s="21" t="e">
        <f t="shared" si="207"/>
        <v>#VALUE!</v>
      </c>
      <c r="N133" s="21" t="e">
        <f t="shared" si="208"/>
        <v>#VALUE!</v>
      </c>
      <c r="O133" s="25" t="str">
        <f>IF('C4 Validation Rubrics'!M32="","",'C4 Validation Rubrics'!M32)</f>
        <v/>
      </c>
      <c r="P133" s="25" t="str">
        <f>IF('C4 Validation Rubrics'!N32="","",'C4 Validation Rubrics'!N32)</f>
        <v/>
      </c>
      <c r="Q133" s="25" t="str">
        <f t="shared" si="166"/>
        <v/>
      </c>
      <c r="R133" s="21" t="str">
        <f>IF('C4 Validation Rubrics'!O32="","",'C4 Validation Rubrics'!O32)</f>
        <v/>
      </c>
    </row>
    <row r="134" spans="1:18" ht="15.75" customHeight="1">
      <c r="A134" s="23" t="s">
        <v>67</v>
      </c>
      <c r="B134" s="23" t="s">
        <v>1088</v>
      </c>
      <c r="C134" s="23"/>
      <c r="D134" s="23"/>
      <c r="E134" s="23" t="s">
        <v>1718</v>
      </c>
      <c r="F134" s="23" t="s">
        <v>1718</v>
      </c>
      <c r="G134" s="23" t="s">
        <v>1718</v>
      </c>
      <c r="H134" s="35" t="str">
        <f>IF(COUNT(H109,H111,H114,H117,H120,H123,H128)=0,"",N(H109)+N(H111)+N(H114)+N(H117)+N(H120)+N(H123)+N(H128))</f>
        <v/>
      </c>
      <c r="I134" s="35" t="str">
        <f t="shared" si="162"/>
        <v/>
      </c>
      <c r="J134" s="23" t="str">
        <f t="shared" si="163"/>
        <v/>
      </c>
      <c r="K134" s="23" t="e">
        <f t="shared" ref="K134:N134" si="209">N(K109)+N(K111)+N(K114)+N(K117)+N(K120)+N(K123)+N(K128)</f>
        <v>#VALUE!</v>
      </c>
      <c r="L134" s="23" t="e">
        <f t="shared" si="209"/>
        <v>#VALUE!</v>
      </c>
      <c r="M134" s="23" t="e">
        <f t="shared" si="209"/>
        <v>#VALUE!</v>
      </c>
      <c r="N134" s="23" t="e">
        <f t="shared" si="209"/>
        <v>#VALUE!</v>
      </c>
      <c r="O134" s="35" t="str">
        <f t="shared" ref="O134:P134" si="210">IF(COUNT(O109,O111,O114,O117,O120,O123,O128)=0,"",N(O109)+N(O111)+N(O114)+N(O117)+N(O120)+N(O123)+N(O128))</f>
        <v/>
      </c>
      <c r="P134" s="35" t="str">
        <f t="shared" si="210"/>
        <v/>
      </c>
      <c r="Q134" s="35" t="str">
        <f t="shared" si="166"/>
        <v/>
      </c>
      <c r="R134" s="23"/>
    </row>
    <row r="135" spans="1:18" ht="15.75" customHeight="1">
      <c r="A135" s="13" t="s">
        <v>68</v>
      </c>
      <c r="B135" s="44" t="s">
        <v>1434</v>
      </c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6"/>
    </row>
    <row r="136" spans="1:18" ht="15.75" customHeight="1">
      <c r="A136" s="16" t="s">
        <v>1024</v>
      </c>
      <c r="B136" s="16" t="s">
        <v>866</v>
      </c>
      <c r="C136" s="16"/>
      <c r="D136" s="16"/>
      <c r="E136" s="16" t="s">
        <v>1718</v>
      </c>
      <c r="F136" s="16" t="s">
        <v>1718</v>
      </c>
      <c r="G136" s="16" t="s">
        <v>1718</v>
      </c>
      <c r="H136" s="17" t="str">
        <f>IF(COUNT(H137)=0,"",SUM(H137))</f>
        <v/>
      </c>
      <c r="I136" s="17" t="str">
        <f t="shared" ref="I136:I149" si="211">IF(H136="","",ROUND(H136/E136*100,2))</f>
        <v/>
      </c>
      <c r="J136" s="16" t="str">
        <f t="shared" ref="J136:J149" si="212">IF(I136="","",IF(I136&gt;YT*100,"Y",IF(I136&gt;=CT*100,"C",IF(I136&gt;=WT*100,"W","D"))))</f>
        <v/>
      </c>
      <c r="K136" s="16" t="e">
        <f t="shared" ref="K136:N136" si="213">SUM(K137)</f>
        <v>#VALUE!</v>
      </c>
      <c r="L136" s="16" t="e">
        <f t="shared" si="213"/>
        <v>#VALUE!</v>
      </c>
      <c r="M136" s="16" t="e">
        <f t="shared" si="213"/>
        <v>#VALUE!</v>
      </c>
      <c r="N136" s="16" t="e">
        <f t="shared" si="213"/>
        <v>#VALUE!</v>
      </c>
      <c r="O136" s="17" t="str">
        <f t="shared" ref="O136:P136" si="214">IF(COUNT(O137)=0,"",SUM(O137))</f>
        <v/>
      </c>
      <c r="P136" s="17" t="str">
        <f t="shared" si="214"/>
        <v/>
      </c>
      <c r="Q136" s="17" t="str">
        <f t="shared" ref="Q136:Q149" si="215">IF(N(O136)=0,"",ROUND(N(P136)/O136*100,2))</f>
        <v/>
      </c>
      <c r="R136" s="16"/>
    </row>
    <row r="137" spans="1:18" ht="15.75" customHeight="1">
      <c r="A137" s="21" t="s">
        <v>876</v>
      </c>
      <c r="B137" s="21" t="s">
        <v>877</v>
      </c>
      <c r="C137" s="21" t="s">
        <v>1449</v>
      </c>
      <c r="D137" s="21" t="s">
        <v>101</v>
      </c>
      <c r="E137" s="21" t="s">
        <v>1718</v>
      </c>
      <c r="F137" s="22" t="s">
        <v>1718</v>
      </c>
      <c r="G137" s="22" t="s">
        <v>1718</v>
      </c>
      <c r="H137" s="25" t="e">
        <f>IF(OR(G137="",F137="",F137=0),"",ROUND(E137*MIN(G137/F137,1),2))</f>
        <v>#VALUE!</v>
      </c>
      <c r="I137" s="25" t="e">
        <f t="shared" si="211"/>
        <v>#VALUE!</v>
      </c>
      <c r="J137" s="21" t="e">
        <f t="shared" si="212"/>
        <v>#VALUE!</v>
      </c>
      <c r="K137" s="21" t="e">
        <f>IF($J137="Y",1,"")</f>
        <v>#VALUE!</v>
      </c>
      <c r="L137" s="21" t="e">
        <f>IF($J137="C",1,"")</f>
        <v>#VALUE!</v>
      </c>
      <c r="M137" s="21" t="e">
        <f>IF($J137="W",1,"")</f>
        <v>#VALUE!</v>
      </c>
      <c r="N137" s="21" t="e">
        <f>IF($J137="D",1,"")</f>
        <v>#VALUE!</v>
      </c>
      <c r="O137" s="25" t="str">
        <f>IF('C5 Validation Rubrics'!M9="","",'C5 Validation Rubrics'!M9)</f>
        <v/>
      </c>
      <c r="P137" s="25" t="str">
        <f>IF('C5 Validation Rubrics'!N9="","",'C5 Validation Rubrics'!N9)</f>
        <v/>
      </c>
      <c r="Q137" s="25" t="str">
        <f t="shared" si="215"/>
        <v/>
      </c>
      <c r="R137" s="21" t="str">
        <f>IF('C5 Validation Rubrics'!O9="","",'C5 Validation Rubrics'!O9)</f>
        <v/>
      </c>
    </row>
    <row r="138" spans="1:18" ht="15.75" customHeight="1">
      <c r="A138" s="16" t="s">
        <v>1069</v>
      </c>
      <c r="B138" s="16" t="s">
        <v>887</v>
      </c>
      <c r="C138" s="16"/>
      <c r="D138" s="16"/>
      <c r="E138" s="16" t="s">
        <v>1718</v>
      </c>
      <c r="F138" s="16" t="s">
        <v>1718</v>
      </c>
      <c r="G138" s="16" t="s">
        <v>1718</v>
      </c>
      <c r="H138" s="17" t="str">
        <f>IF(COUNT(H139:H140)=0,"",SUM(H139:H140))</f>
        <v/>
      </c>
      <c r="I138" s="17" t="str">
        <f t="shared" si="211"/>
        <v/>
      </c>
      <c r="J138" s="16" t="str">
        <f t="shared" si="212"/>
        <v/>
      </c>
      <c r="K138" s="16" t="e">
        <f t="shared" ref="K138:N138" si="216">SUM(K139:K140)</f>
        <v>#VALUE!</v>
      </c>
      <c r="L138" s="16" t="e">
        <f t="shared" si="216"/>
        <v>#VALUE!</v>
      </c>
      <c r="M138" s="16" t="e">
        <f t="shared" si="216"/>
        <v>#VALUE!</v>
      </c>
      <c r="N138" s="16" t="e">
        <f t="shared" si="216"/>
        <v>#VALUE!</v>
      </c>
      <c r="O138" s="17" t="str">
        <f t="shared" ref="O138:P138" si="217">IF(COUNT(O139:O140)=0,"",SUM(O139:O140))</f>
        <v/>
      </c>
      <c r="P138" s="17" t="str">
        <f t="shared" si="217"/>
        <v/>
      </c>
      <c r="Q138" s="17" t="str">
        <f t="shared" si="215"/>
        <v/>
      </c>
      <c r="R138" s="16"/>
    </row>
    <row r="139" spans="1:18" ht="15.75" customHeight="1">
      <c r="A139" s="21" t="s">
        <v>895</v>
      </c>
      <c r="B139" s="21" t="s">
        <v>896</v>
      </c>
      <c r="C139" s="21" t="s">
        <v>1461</v>
      </c>
      <c r="D139" s="21" t="s">
        <v>101</v>
      </c>
      <c r="E139" s="21" t="s">
        <v>1718</v>
      </c>
      <c r="F139" s="22" t="s">
        <v>1718</v>
      </c>
      <c r="G139" s="22" t="s">
        <v>1718</v>
      </c>
      <c r="H139" s="25" t="e">
        <f t="shared" ref="H139:H140" si="218">IF(OR(G139="",F139="",F139=0),"",ROUND(E139*MIN(G139/F139,1),2))</f>
        <v>#VALUE!</v>
      </c>
      <c r="I139" s="25" t="e">
        <f t="shared" si="211"/>
        <v>#VALUE!</v>
      </c>
      <c r="J139" s="21" t="e">
        <f t="shared" si="212"/>
        <v>#VALUE!</v>
      </c>
      <c r="K139" s="21" t="e">
        <f t="shared" ref="K139:K140" si="219">IF($J139="Y",1,"")</f>
        <v>#VALUE!</v>
      </c>
      <c r="L139" s="21" t="e">
        <f t="shared" ref="L139:L140" si="220">IF($J139="C",1,"")</f>
        <v>#VALUE!</v>
      </c>
      <c r="M139" s="21" t="e">
        <f t="shared" ref="M139:M140" si="221">IF($J139="W",1,"")</f>
        <v>#VALUE!</v>
      </c>
      <c r="N139" s="21" t="e">
        <f t="shared" ref="N139:N140" si="222">IF($J139="D",1,"")</f>
        <v>#VALUE!</v>
      </c>
      <c r="O139" s="25" t="str">
        <f>IF('C5 Validation Rubrics'!M11="","",'C5 Validation Rubrics'!M11)</f>
        <v/>
      </c>
      <c r="P139" s="25" t="str">
        <f>IF('C5 Validation Rubrics'!N11="","",'C5 Validation Rubrics'!N11)</f>
        <v/>
      </c>
      <c r="Q139" s="25" t="str">
        <f t="shared" si="215"/>
        <v/>
      </c>
      <c r="R139" s="21" t="str">
        <f>IF('C5 Validation Rubrics'!O11="","",'C5 Validation Rubrics'!O11)</f>
        <v/>
      </c>
    </row>
    <row r="140" spans="1:18" ht="15.75" customHeight="1">
      <c r="A140" s="21" t="s">
        <v>905</v>
      </c>
      <c r="B140" s="21" t="s">
        <v>906</v>
      </c>
      <c r="C140" s="21" t="s">
        <v>1466</v>
      </c>
      <c r="D140" s="21" t="s">
        <v>101</v>
      </c>
      <c r="E140" s="21" t="s">
        <v>1718</v>
      </c>
      <c r="F140" s="22" t="s">
        <v>1718</v>
      </c>
      <c r="G140" s="22" t="s">
        <v>1718</v>
      </c>
      <c r="H140" s="25" t="e">
        <f t="shared" si="218"/>
        <v>#VALUE!</v>
      </c>
      <c r="I140" s="25" t="e">
        <f t="shared" si="211"/>
        <v>#VALUE!</v>
      </c>
      <c r="J140" s="21" t="e">
        <f t="shared" si="212"/>
        <v>#VALUE!</v>
      </c>
      <c r="K140" s="21" t="e">
        <f t="shared" si="219"/>
        <v>#VALUE!</v>
      </c>
      <c r="L140" s="21" t="e">
        <f t="shared" si="220"/>
        <v>#VALUE!</v>
      </c>
      <c r="M140" s="21" t="e">
        <f t="shared" si="221"/>
        <v>#VALUE!</v>
      </c>
      <c r="N140" s="21" t="e">
        <f t="shared" si="222"/>
        <v>#VALUE!</v>
      </c>
      <c r="O140" s="25" t="str">
        <f>IF('C5 Validation Rubrics'!M12="","",'C5 Validation Rubrics'!M12)</f>
        <v/>
      </c>
      <c r="P140" s="25" t="str">
        <f>IF('C5 Validation Rubrics'!N12="","",'C5 Validation Rubrics'!N12)</f>
        <v/>
      </c>
      <c r="Q140" s="25" t="str">
        <f t="shared" si="215"/>
        <v/>
      </c>
      <c r="R140" s="21" t="str">
        <f>IF('C5 Validation Rubrics'!O12="","",'C5 Validation Rubrics'!O12)</f>
        <v/>
      </c>
    </row>
    <row r="141" spans="1:18" ht="15.75" customHeight="1">
      <c r="A141" s="16" t="s">
        <v>1094</v>
      </c>
      <c r="B141" s="16" t="s">
        <v>914</v>
      </c>
      <c r="C141" s="16"/>
      <c r="D141" s="16"/>
      <c r="E141" s="16" t="s">
        <v>1718</v>
      </c>
      <c r="F141" s="16" t="s">
        <v>1718</v>
      </c>
      <c r="G141" s="16" t="s">
        <v>1718</v>
      </c>
      <c r="H141" s="17" t="str">
        <f>IF(COUNT(H142:H144)=0,"",SUM(H142:H144))</f>
        <v/>
      </c>
      <c r="I141" s="17" t="str">
        <f t="shared" si="211"/>
        <v/>
      </c>
      <c r="J141" s="16" t="str">
        <f t="shared" si="212"/>
        <v/>
      </c>
      <c r="K141" s="16" t="e">
        <f t="shared" ref="K141:N141" si="223">SUM(K142:K144)</f>
        <v>#VALUE!</v>
      </c>
      <c r="L141" s="16" t="e">
        <f t="shared" si="223"/>
        <v>#VALUE!</v>
      </c>
      <c r="M141" s="16" t="e">
        <f t="shared" si="223"/>
        <v>#VALUE!</v>
      </c>
      <c r="N141" s="16" t="e">
        <f t="shared" si="223"/>
        <v>#VALUE!</v>
      </c>
      <c r="O141" s="17" t="str">
        <f t="shared" ref="O141:P141" si="224">IF(COUNT(O142:O144)=0,"",SUM(O142:O144))</f>
        <v/>
      </c>
      <c r="P141" s="17" t="str">
        <f t="shared" si="224"/>
        <v/>
      </c>
      <c r="Q141" s="17" t="str">
        <f t="shared" si="215"/>
        <v/>
      </c>
      <c r="R141" s="16"/>
    </row>
    <row r="142" spans="1:18" ht="15.75" customHeight="1">
      <c r="A142" s="21" t="s">
        <v>920</v>
      </c>
      <c r="B142" s="21" t="s">
        <v>921</v>
      </c>
      <c r="C142" s="21" t="s">
        <v>1474</v>
      </c>
      <c r="D142" s="21" t="s">
        <v>101</v>
      </c>
      <c r="E142" s="21" t="s">
        <v>1718</v>
      </c>
      <c r="F142" s="22" t="s">
        <v>1718</v>
      </c>
      <c r="G142" s="22" t="s">
        <v>1718</v>
      </c>
      <c r="H142" s="25" t="e">
        <f t="shared" ref="H142:H144" si="225">IF(OR(G142="",F142="",F142=0),"",ROUND(E142*MIN(G142/F142,1),2))</f>
        <v>#VALUE!</v>
      </c>
      <c r="I142" s="25" t="e">
        <f t="shared" si="211"/>
        <v>#VALUE!</v>
      </c>
      <c r="J142" s="21" t="e">
        <f t="shared" si="212"/>
        <v>#VALUE!</v>
      </c>
      <c r="K142" s="21" t="e">
        <f t="shared" ref="K142:K144" si="226">IF($J142="Y",1,"")</f>
        <v>#VALUE!</v>
      </c>
      <c r="L142" s="21" t="e">
        <f t="shared" ref="L142:L144" si="227">IF($J142="C",1,"")</f>
        <v>#VALUE!</v>
      </c>
      <c r="M142" s="21" t="e">
        <f t="shared" ref="M142:M144" si="228">IF($J142="W",1,"")</f>
        <v>#VALUE!</v>
      </c>
      <c r="N142" s="21" t="e">
        <f t="shared" ref="N142:N144" si="229">IF($J142="D",1,"")</f>
        <v>#VALUE!</v>
      </c>
      <c r="O142" s="25" t="str">
        <f>IF('C5 Validation Rubrics'!M14="","",'C5 Validation Rubrics'!M14)</f>
        <v/>
      </c>
      <c r="P142" s="25" t="str">
        <f>IF('C5 Validation Rubrics'!N14="","",'C5 Validation Rubrics'!N14)</f>
        <v/>
      </c>
      <c r="Q142" s="25" t="str">
        <f t="shared" si="215"/>
        <v/>
      </c>
      <c r="R142" s="21" t="str">
        <f>IF('C5 Validation Rubrics'!O14="","",'C5 Validation Rubrics'!O14)</f>
        <v/>
      </c>
    </row>
    <row r="143" spans="1:18" ht="15.75" customHeight="1">
      <c r="A143" s="21" t="s">
        <v>930</v>
      </c>
      <c r="B143" s="21" t="s">
        <v>931</v>
      </c>
      <c r="C143" s="21" t="s">
        <v>1477</v>
      </c>
      <c r="D143" s="21" t="s">
        <v>101</v>
      </c>
      <c r="E143" s="21" t="s">
        <v>1718</v>
      </c>
      <c r="F143" s="22" t="s">
        <v>1718</v>
      </c>
      <c r="G143" s="22" t="s">
        <v>1718</v>
      </c>
      <c r="H143" s="25" t="e">
        <f t="shared" si="225"/>
        <v>#VALUE!</v>
      </c>
      <c r="I143" s="25" t="e">
        <f t="shared" si="211"/>
        <v>#VALUE!</v>
      </c>
      <c r="J143" s="21" t="e">
        <f t="shared" si="212"/>
        <v>#VALUE!</v>
      </c>
      <c r="K143" s="21" t="e">
        <f t="shared" si="226"/>
        <v>#VALUE!</v>
      </c>
      <c r="L143" s="21" t="e">
        <f t="shared" si="227"/>
        <v>#VALUE!</v>
      </c>
      <c r="M143" s="21" t="e">
        <f t="shared" si="228"/>
        <v>#VALUE!</v>
      </c>
      <c r="N143" s="21" t="e">
        <f t="shared" si="229"/>
        <v>#VALUE!</v>
      </c>
      <c r="O143" s="25" t="str">
        <f>IF('C5 Validation Rubrics'!M15="","",'C5 Validation Rubrics'!M15)</f>
        <v/>
      </c>
      <c r="P143" s="25" t="str">
        <f>IF('C5 Validation Rubrics'!N15="","",'C5 Validation Rubrics'!N15)</f>
        <v/>
      </c>
      <c r="Q143" s="25" t="str">
        <f t="shared" si="215"/>
        <v/>
      </c>
      <c r="R143" s="21" t="str">
        <f>IF('C5 Validation Rubrics'!O15="","",'C5 Validation Rubrics'!O15)</f>
        <v/>
      </c>
    </row>
    <row r="144" spans="1:18" ht="15.75" customHeight="1">
      <c r="A144" s="21" t="s">
        <v>940</v>
      </c>
      <c r="B144" s="21" t="s">
        <v>941</v>
      </c>
      <c r="C144" s="21" t="s">
        <v>1484</v>
      </c>
      <c r="D144" s="21" t="s">
        <v>101</v>
      </c>
      <c r="E144" s="21" t="s">
        <v>1718</v>
      </c>
      <c r="F144" s="22" t="s">
        <v>1718</v>
      </c>
      <c r="G144" s="22" t="s">
        <v>1718</v>
      </c>
      <c r="H144" s="25" t="e">
        <f t="shared" si="225"/>
        <v>#VALUE!</v>
      </c>
      <c r="I144" s="25" t="e">
        <f t="shared" si="211"/>
        <v>#VALUE!</v>
      </c>
      <c r="J144" s="21" t="e">
        <f t="shared" si="212"/>
        <v>#VALUE!</v>
      </c>
      <c r="K144" s="21" t="e">
        <f t="shared" si="226"/>
        <v>#VALUE!</v>
      </c>
      <c r="L144" s="21" t="e">
        <f t="shared" si="227"/>
        <v>#VALUE!</v>
      </c>
      <c r="M144" s="21" t="e">
        <f t="shared" si="228"/>
        <v>#VALUE!</v>
      </c>
      <c r="N144" s="21" t="e">
        <f t="shared" si="229"/>
        <v>#VALUE!</v>
      </c>
      <c r="O144" s="25" t="str">
        <f>IF('C5 Validation Rubrics'!M16="","",'C5 Validation Rubrics'!M16)</f>
        <v/>
      </c>
      <c r="P144" s="25" t="str">
        <f>IF('C5 Validation Rubrics'!N16="","",'C5 Validation Rubrics'!N16)</f>
        <v/>
      </c>
      <c r="Q144" s="25" t="str">
        <f t="shared" si="215"/>
        <v/>
      </c>
      <c r="R144" s="21" t="str">
        <f>IF('C5 Validation Rubrics'!O16="","",'C5 Validation Rubrics'!O16)</f>
        <v/>
      </c>
    </row>
    <row r="145" spans="1:18" ht="15.75" customHeight="1">
      <c r="A145" s="16" t="s">
        <v>1104</v>
      </c>
      <c r="B145" s="16" t="s">
        <v>945</v>
      </c>
      <c r="C145" s="16"/>
      <c r="D145" s="16"/>
      <c r="E145" s="16" t="s">
        <v>1718</v>
      </c>
      <c r="F145" s="16" t="s">
        <v>1718</v>
      </c>
      <c r="G145" s="16" t="s">
        <v>1718</v>
      </c>
      <c r="H145" s="17" t="str">
        <f>IF(COUNT(H146)=0,"",SUM(H146))</f>
        <v/>
      </c>
      <c r="I145" s="17" t="str">
        <f t="shared" si="211"/>
        <v/>
      </c>
      <c r="J145" s="16" t="str">
        <f t="shared" si="212"/>
        <v/>
      </c>
      <c r="K145" s="16" t="e">
        <f t="shared" ref="K145:N145" si="230">SUM(K146)</f>
        <v>#VALUE!</v>
      </c>
      <c r="L145" s="16" t="e">
        <f t="shared" si="230"/>
        <v>#VALUE!</v>
      </c>
      <c r="M145" s="16" t="e">
        <f t="shared" si="230"/>
        <v>#VALUE!</v>
      </c>
      <c r="N145" s="16" t="e">
        <f t="shared" si="230"/>
        <v>#VALUE!</v>
      </c>
      <c r="O145" s="17" t="str">
        <f t="shared" ref="O145:P145" si="231">IF(COUNT(O146)=0,"",SUM(O146))</f>
        <v/>
      </c>
      <c r="P145" s="17" t="str">
        <f t="shared" si="231"/>
        <v/>
      </c>
      <c r="Q145" s="17" t="str">
        <f t="shared" si="215"/>
        <v/>
      </c>
      <c r="R145" s="16"/>
    </row>
    <row r="146" spans="1:18" ht="15.75" customHeight="1">
      <c r="A146" s="21" t="s">
        <v>950</v>
      </c>
      <c r="B146" s="21" t="s">
        <v>951</v>
      </c>
      <c r="C146" s="21" t="s">
        <v>1492</v>
      </c>
      <c r="D146" s="21" t="s">
        <v>101</v>
      </c>
      <c r="E146" s="21" t="s">
        <v>1718</v>
      </c>
      <c r="F146" s="22" t="s">
        <v>1718</v>
      </c>
      <c r="G146" s="22" t="s">
        <v>1718</v>
      </c>
      <c r="H146" s="25" t="e">
        <f>IF(OR(G146="",F146="",F146=0),"",ROUND(E146*MIN(G146/F146,1),2))</f>
        <v>#VALUE!</v>
      </c>
      <c r="I146" s="25" t="e">
        <f t="shared" si="211"/>
        <v>#VALUE!</v>
      </c>
      <c r="J146" s="21" t="e">
        <f t="shared" si="212"/>
        <v>#VALUE!</v>
      </c>
      <c r="K146" s="21" t="e">
        <f>IF($J146="Y",1,"")</f>
        <v>#VALUE!</v>
      </c>
      <c r="L146" s="21" t="e">
        <f>IF($J146="C",1,"")</f>
        <v>#VALUE!</v>
      </c>
      <c r="M146" s="21" t="e">
        <f>IF($J146="W",1,"")</f>
        <v>#VALUE!</v>
      </c>
      <c r="N146" s="21" t="e">
        <f>IF($J146="D",1,"")</f>
        <v>#VALUE!</v>
      </c>
      <c r="O146" s="25" t="str">
        <f>IF('C5 Validation Rubrics'!M18="","",'C5 Validation Rubrics'!M18)</f>
        <v/>
      </c>
      <c r="P146" s="25" t="str">
        <f>IF('C5 Validation Rubrics'!N18="","",'C5 Validation Rubrics'!N18)</f>
        <v/>
      </c>
      <c r="Q146" s="25" t="str">
        <f t="shared" si="215"/>
        <v/>
      </c>
      <c r="R146" s="21" t="str">
        <f>IF('C5 Validation Rubrics'!O18="","",'C5 Validation Rubrics'!O18)</f>
        <v/>
      </c>
    </row>
    <row r="147" spans="1:18" ht="15.75" customHeight="1">
      <c r="A147" s="16" t="s">
        <v>1121</v>
      </c>
      <c r="B147" s="16" t="s">
        <v>962</v>
      </c>
      <c r="C147" s="16"/>
      <c r="D147" s="16"/>
      <c r="E147" s="16" t="s">
        <v>1718</v>
      </c>
      <c r="F147" s="16" t="s">
        <v>1718</v>
      </c>
      <c r="G147" s="16" t="s">
        <v>1718</v>
      </c>
      <c r="H147" s="17" t="str">
        <f>IF(COUNT(H148)=0,"",SUM(H148))</f>
        <v/>
      </c>
      <c r="I147" s="17" t="str">
        <f t="shared" si="211"/>
        <v/>
      </c>
      <c r="J147" s="16" t="str">
        <f t="shared" si="212"/>
        <v/>
      </c>
      <c r="K147" s="16" t="e">
        <f t="shared" ref="K147:N147" si="232">SUM(K148)</f>
        <v>#VALUE!</v>
      </c>
      <c r="L147" s="16" t="e">
        <f t="shared" si="232"/>
        <v>#VALUE!</v>
      </c>
      <c r="M147" s="16" t="e">
        <f t="shared" si="232"/>
        <v>#VALUE!</v>
      </c>
      <c r="N147" s="16" t="e">
        <f t="shared" si="232"/>
        <v>#VALUE!</v>
      </c>
      <c r="O147" s="17" t="str">
        <f t="shared" ref="O147:P147" si="233">IF(COUNT(O148)=0,"",SUM(O148))</f>
        <v/>
      </c>
      <c r="P147" s="17" t="str">
        <f t="shared" si="233"/>
        <v/>
      </c>
      <c r="Q147" s="17" t="str">
        <f t="shared" si="215"/>
        <v/>
      </c>
      <c r="R147" s="16"/>
    </row>
    <row r="148" spans="1:18" ht="15.75" customHeight="1">
      <c r="A148" s="21" t="s">
        <v>964</v>
      </c>
      <c r="B148" s="21" t="s">
        <v>962</v>
      </c>
      <c r="C148" s="21" t="s">
        <v>1499</v>
      </c>
      <c r="D148" s="21" t="s">
        <v>101</v>
      </c>
      <c r="E148" s="21" t="s">
        <v>1718</v>
      </c>
      <c r="F148" s="22" t="s">
        <v>1718</v>
      </c>
      <c r="G148" s="22" t="s">
        <v>1718</v>
      </c>
      <c r="H148" s="25" t="e">
        <f>IF(OR(G148="",F148="",F148=0),"",ROUND(E148*MIN(G148/F148,1),2))</f>
        <v>#VALUE!</v>
      </c>
      <c r="I148" s="25" t="e">
        <f t="shared" si="211"/>
        <v>#VALUE!</v>
      </c>
      <c r="J148" s="21" t="e">
        <f t="shared" si="212"/>
        <v>#VALUE!</v>
      </c>
      <c r="K148" s="21" t="e">
        <f>IF($J148="Y",1,"")</f>
        <v>#VALUE!</v>
      </c>
      <c r="L148" s="21" t="e">
        <f>IF($J148="C",1,"")</f>
        <v>#VALUE!</v>
      </c>
      <c r="M148" s="21" t="e">
        <f>IF($J148="W",1,"")</f>
        <v>#VALUE!</v>
      </c>
      <c r="N148" s="21" t="e">
        <f>IF($J148="D",1,"")</f>
        <v>#VALUE!</v>
      </c>
      <c r="O148" s="25" t="str">
        <f>IF('C5 Validation Rubrics'!M20="","",'C5 Validation Rubrics'!M20)</f>
        <v/>
      </c>
      <c r="P148" s="25" t="str">
        <f>IF('C5 Validation Rubrics'!N20="","",'C5 Validation Rubrics'!N20)</f>
        <v/>
      </c>
      <c r="Q148" s="25" t="str">
        <f t="shared" si="215"/>
        <v/>
      </c>
      <c r="R148" s="21" t="str">
        <f>IF('C5 Validation Rubrics'!O20="","",'C5 Validation Rubrics'!O20)</f>
        <v/>
      </c>
    </row>
    <row r="149" spans="1:18" ht="15.75" customHeight="1">
      <c r="A149" s="23" t="s">
        <v>68</v>
      </c>
      <c r="B149" s="23" t="s">
        <v>974</v>
      </c>
      <c r="C149" s="23"/>
      <c r="D149" s="23"/>
      <c r="E149" s="23" t="s">
        <v>1718</v>
      </c>
      <c r="F149" s="23" t="s">
        <v>1718</v>
      </c>
      <c r="G149" s="23" t="s">
        <v>1718</v>
      </c>
      <c r="H149" s="35" t="str">
        <f>IF(COUNT(H136,H138,H141,H145,H147)=0,"",N(H136)+N(H138)+N(H141)+N(H145)+N(H147))</f>
        <v/>
      </c>
      <c r="I149" s="35" t="str">
        <f t="shared" si="211"/>
        <v/>
      </c>
      <c r="J149" s="23" t="str">
        <f t="shared" si="212"/>
        <v/>
      </c>
      <c r="K149" s="23" t="e">
        <f t="shared" ref="K149:N149" si="234">N(K136)+N(K138)+N(K141)+N(K145)+N(K147)</f>
        <v>#VALUE!</v>
      </c>
      <c r="L149" s="23" t="e">
        <f t="shared" si="234"/>
        <v>#VALUE!</v>
      </c>
      <c r="M149" s="23" t="e">
        <f t="shared" si="234"/>
        <v>#VALUE!</v>
      </c>
      <c r="N149" s="23" t="e">
        <f t="shared" si="234"/>
        <v>#VALUE!</v>
      </c>
      <c r="O149" s="35" t="str">
        <f t="shared" ref="O149:P149" si="235">IF(COUNT(O136,O138,O141,O145,O147)=0,"",N(O136)+N(O138)+N(O141)+N(O145)+N(O147))</f>
        <v/>
      </c>
      <c r="P149" s="35" t="str">
        <f t="shared" si="235"/>
        <v/>
      </c>
      <c r="Q149" s="35" t="str">
        <f t="shared" si="215"/>
        <v/>
      </c>
      <c r="R149" s="23"/>
    </row>
    <row r="150" spans="1:18" ht="15.75" customHeight="1">
      <c r="A150" s="13" t="s">
        <v>69</v>
      </c>
      <c r="B150" s="44" t="s">
        <v>1523</v>
      </c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6"/>
    </row>
    <row r="151" spans="1:18" ht="15.75" customHeight="1">
      <c r="A151" s="16" t="s">
        <v>1177</v>
      </c>
      <c r="B151" s="16" t="s">
        <v>989</v>
      </c>
      <c r="C151" s="16"/>
      <c r="D151" s="16"/>
      <c r="E151" s="16" t="s">
        <v>1718</v>
      </c>
      <c r="F151" s="16" t="s">
        <v>1718</v>
      </c>
      <c r="G151" s="16" t="s">
        <v>1718</v>
      </c>
      <c r="H151" s="17" t="str">
        <f>IF(COUNT(H152:H159)=0,"",SUM(H152:H159))</f>
        <v/>
      </c>
      <c r="I151" s="17" t="str">
        <f t="shared" ref="I151:I168" si="236">IF(H151="","",ROUND(H151/E151*100,2))</f>
        <v/>
      </c>
      <c r="J151" s="16" t="str">
        <f t="shared" ref="J151:J168" si="237">IF(I151="","",IF(I151&gt;YT*100,"Y",IF(I151&gt;=CT*100,"C",IF(I151&gt;=WT*100,"W","D"))))</f>
        <v/>
      </c>
      <c r="K151" s="16" t="e">
        <f t="shared" ref="K151:N151" si="238">SUM(K152:K159)</f>
        <v>#VALUE!</v>
      </c>
      <c r="L151" s="16" t="e">
        <f t="shared" si="238"/>
        <v>#VALUE!</v>
      </c>
      <c r="M151" s="16" t="e">
        <f t="shared" si="238"/>
        <v>#VALUE!</v>
      </c>
      <c r="N151" s="16" t="e">
        <f t="shared" si="238"/>
        <v>#VALUE!</v>
      </c>
      <c r="O151" s="17" t="str">
        <f t="shared" ref="O151:P151" si="239">IF(COUNT(O152:O159)=0,"",SUM(O152:O159))</f>
        <v/>
      </c>
      <c r="P151" s="17" t="str">
        <f t="shared" si="239"/>
        <v/>
      </c>
      <c r="Q151" s="17" t="str">
        <f t="shared" ref="Q151:Q168" si="240">IF(N(O151)=0,"",ROUND(N(P151)/O151*100,2))</f>
        <v/>
      </c>
      <c r="R151" s="16"/>
    </row>
    <row r="152" spans="1:18" ht="15.75" customHeight="1">
      <c r="A152" s="21" t="s">
        <v>998</v>
      </c>
      <c r="B152" s="21" t="s">
        <v>1000</v>
      </c>
      <c r="C152" s="21" t="s">
        <v>1525</v>
      </c>
      <c r="D152" s="21" t="s">
        <v>101</v>
      </c>
      <c r="E152" s="21" t="s">
        <v>1718</v>
      </c>
      <c r="F152" s="22" t="s">
        <v>1718</v>
      </c>
      <c r="G152" s="22" t="s">
        <v>1718</v>
      </c>
      <c r="H152" s="25" t="e">
        <f t="shared" ref="H152:H159" si="241">IF(OR(G152="",F152="",F152=0),"",ROUND(E152*MIN(G152/F152,1),2))</f>
        <v>#VALUE!</v>
      </c>
      <c r="I152" s="25" t="e">
        <f t="shared" si="236"/>
        <v>#VALUE!</v>
      </c>
      <c r="J152" s="21" t="e">
        <f t="shared" si="237"/>
        <v>#VALUE!</v>
      </c>
      <c r="K152" s="21" t="e">
        <f t="shared" ref="K152:K159" si="242">IF($J152="Y",1,"")</f>
        <v>#VALUE!</v>
      </c>
      <c r="L152" s="21" t="e">
        <f t="shared" ref="L152:L159" si="243">IF($J152="C",1,"")</f>
        <v>#VALUE!</v>
      </c>
      <c r="M152" s="21" t="e">
        <f t="shared" ref="M152:M159" si="244">IF($J152="W",1,"")</f>
        <v>#VALUE!</v>
      </c>
      <c r="N152" s="21" t="e">
        <f t="shared" ref="N152:N159" si="245">IF($J152="D",1,"")</f>
        <v>#VALUE!</v>
      </c>
      <c r="O152" s="25" t="str">
        <f>IF('C6 Validation Rubrics'!M9="","",'C6 Validation Rubrics'!M9)</f>
        <v/>
      </c>
      <c r="P152" s="25" t="str">
        <f>IF('C6 Validation Rubrics'!N9="","",'C6 Validation Rubrics'!N9)</f>
        <v/>
      </c>
      <c r="Q152" s="25" t="str">
        <f t="shared" si="240"/>
        <v/>
      </c>
      <c r="R152" s="21" t="str">
        <f>IF('C6 Validation Rubrics'!O9="","",'C6 Validation Rubrics'!O9)</f>
        <v/>
      </c>
    </row>
    <row r="153" spans="1:18" ht="15.75" customHeight="1">
      <c r="A153" s="21" t="s">
        <v>1023</v>
      </c>
      <c r="B153" s="21" t="s">
        <v>1025</v>
      </c>
      <c r="C153" s="21" t="s">
        <v>1526</v>
      </c>
      <c r="D153" s="21" t="s">
        <v>263</v>
      </c>
      <c r="E153" s="21" t="s">
        <v>1718</v>
      </c>
      <c r="F153" s="22" t="s">
        <v>1718</v>
      </c>
      <c r="G153" s="22" t="s">
        <v>1718</v>
      </c>
      <c r="H153" s="25" t="e">
        <f t="shared" si="241"/>
        <v>#VALUE!</v>
      </c>
      <c r="I153" s="25" t="e">
        <f t="shared" si="236"/>
        <v>#VALUE!</v>
      </c>
      <c r="J153" s="21" t="e">
        <f t="shared" si="237"/>
        <v>#VALUE!</v>
      </c>
      <c r="K153" s="21" t="e">
        <f t="shared" si="242"/>
        <v>#VALUE!</v>
      </c>
      <c r="L153" s="21" t="e">
        <f t="shared" si="243"/>
        <v>#VALUE!</v>
      </c>
      <c r="M153" s="21" t="e">
        <f t="shared" si="244"/>
        <v>#VALUE!</v>
      </c>
      <c r="N153" s="21" t="e">
        <f t="shared" si="245"/>
        <v>#VALUE!</v>
      </c>
      <c r="O153" s="25" t="str">
        <f>IF('C6 Validation Rubrics'!M10="","",'C6 Validation Rubrics'!M10)</f>
        <v/>
      </c>
      <c r="P153" s="25" t="str">
        <f>IF('C6 Validation Rubrics'!N10="","",'C6 Validation Rubrics'!N10)</f>
        <v/>
      </c>
      <c r="Q153" s="25" t="str">
        <f t="shared" si="240"/>
        <v/>
      </c>
      <c r="R153" s="21" t="str">
        <f>IF('C6 Validation Rubrics'!O10="","",'C6 Validation Rubrics'!O10)</f>
        <v/>
      </c>
    </row>
    <row r="154" spans="1:18" ht="15.75" customHeight="1">
      <c r="A154" s="21" t="s">
        <v>1031</v>
      </c>
      <c r="B154" s="21" t="s">
        <v>1032</v>
      </c>
      <c r="C154" s="21" t="s">
        <v>1527</v>
      </c>
      <c r="D154" s="21" t="s">
        <v>101</v>
      </c>
      <c r="E154" s="21" t="s">
        <v>1718</v>
      </c>
      <c r="F154" s="22" t="s">
        <v>1718</v>
      </c>
      <c r="G154" s="22" t="s">
        <v>1718</v>
      </c>
      <c r="H154" s="25" t="e">
        <f t="shared" si="241"/>
        <v>#VALUE!</v>
      </c>
      <c r="I154" s="25" t="e">
        <f t="shared" si="236"/>
        <v>#VALUE!</v>
      </c>
      <c r="J154" s="21" t="e">
        <f t="shared" si="237"/>
        <v>#VALUE!</v>
      </c>
      <c r="K154" s="21" t="e">
        <f t="shared" si="242"/>
        <v>#VALUE!</v>
      </c>
      <c r="L154" s="21" t="e">
        <f t="shared" si="243"/>
        <v>#VALUE!</v>
      </c>
      <c r="M154" s="21" t="e">
        <f t="shared" si="244"/>
        <v>#VALUE!</v>
      </c>
      <c r="N154" s="21" t="e">
        <f t="shared" si="245"/>
        <v>#VALUE!</v>
      </c>
      <c r="O154" s="25" t="str">
        <f>IF('C6 Validation Rubrics'!M11="","",'C6 Validation Rubrics'!M11)</f>
        <v/>
      </c>
      <c r="P154" s="25" t="str">
        <f>IF('C6 Validation Rubrics'!N11="","",'C6 Validation Rubrics'!N11)</f>
        <v/>
      </c>
      <c r="Q154" s="25" t="str">
        <f t="shared" si="240"/>
        <v/>
      </c>
      <c r="R154" s="21" t="str">
        <f>IF('C6 Validation Rubrics'!O11="","",'C6 Validation Rubrics'!O11)</f>
        <v/>
      </c>
    </row>
    <row r="155" spans="1:18" ht="15.75" customHeight="1">
      <c r="A155" s="21" t="s">
        <v>1042</v>
      </c>
      <c r="B155" s="21" t="s">
        <v>1043</v>
      </c>
      <c r="C155" s="21" t="s">
        <v>1536</v>
      </c>
      <c r="D155" s="21" t="s">
        <v>263</v>
      </c>
      <c r="E155" s="21" t="s">
        <v>1718</v>
      </c>
      <c r="F155" s="22" t="s">
        <v>1718</v>
      </c>
      <c r="G155" s="22" t="s">
        <v>1718</v>
      </c>
      <c r="H155" s="25" t="e">
        <f t="shared" si="241"/>
        <v>#VALUE!</v>
      </c>
      <c r="I155" s="25" t="e">
        <f t="shared" si="236"/>
        <v>#VALUE!</v>
      </c>
      <c r="J155" s="21" t="e">
        <f t="shared" si="237"/>
        <v>#VALUE!</v>
      </c>
      <c r="K155" s="21" t="e">
        <f t="shared" si="242"/>
        <v>#VALUE!</v>
      </c>
      <c r="L155" s="21" t="e">
        <f t="shared" si="243"/>
        <v>#VALUE!</v>
      </c>
      <c r="M155" s="21" t="e">
        <f t="shared" si="244"/>
        <v>#VALUE!</v>
      </c>
      <c r="N155" s="21" t="e">
        <f t="shared" si="245"/>
        <v>#VALUE!</v>
      </c>
      <c r="O155" s="25" t="str">
        <f>IF('C6 Validation Rubrics'!M12="","",'C6 Validation Rubrics'!M12)</f>
        <v/>
      </c>
      <c r="P155" s="25" t="str">
        <f>IF('C6 Validation Rubrics'!N12="","",'C6 Validation Rubrics'!N12)</f>
        <v/>
      </c>
      <c r="Q155" s="25" t="str">
        <f t="shared" si="240"/>
        <v/>
      </c>
      <c r="R155" s="21" t="str">
        <f>IF('C6 Validation Rubrics'!O12="","",'C6 Validation Rubrics'!O12)</f>
        <v/>
      </c>
    </row>
    <row r="156" spans="1:18" ht="15.75" customHeight="1">
      <c r="A156" s="21" t="s">
        <v>1055</v>
      </c>
      <c r="B156" s="21" t="s">
        <v>1056</v>
      </c>
      <c r="C156" s="21" t="s">
        <v>1549</v>
      </c>
      <c r="D156" s="21" t="s">
        <v>101</v>
      </c>
      <c r="E156" s="21" t="s">
        <v>1718</v>
      </c>
      <c r="F156" s="22" t="s">
        <v>1718</v>
      </c>
      <c r="G156" s="22" t="s">
        <v>1718</v>
      </c>
      <c r="H156" s="25" t="e">
        <f t="shared" si="241"/>
        <v>#VALUE!</v>
      </c>
      <c r="I156" s="25" t="e">
        <f t="shared" si="236"/>
        <v>#VALUE!</v>
      </c>
      <c r="J156" s="21" t="e">
        <f t="shared" si="237"/>
        <v>#VALUE!</v>
      </c>
      <c r="K156" s="21" t="e">
        <f t="shared" si="242"/>
        <v>#VALUE!</v>
      </c>
      <c r="L156" s="21" t="e">
        <f t="shared" si="243"/>
        <v>#VALUE!</v>
      </c>
      <c r="M156" s="21" t="e">
        <f t="shared" si="244"/>
        <v>#VALUE!</v>
      </c>
      <c r="N156" s="21" t="e">
        <f t="shared" si="245"/>
        <v>#VALUE!</v>
      </c>
      <c r="O156" s="25" t="str">
        <f>IF('C6 Validation Rubrics'!M13="","",'C6 Validation Rubrics'!M13)</f>
        <v/>
      </c>
      <c r="P156" s="25" t="str">
        <f>IF('C6 Validation Rubrics'!N13="","",'C6 Validation Rubrics'!N13)</f>
        <v/>
      </c>
      <c r="Q156" s="25" t="str">
        <f t="shared" si="240"/>
        <v/>
      </c>
      <c r="R156" s="21" t="str">
        <f>IF('C6 Validation Rubrics'!O13="","",'C6 Validation Rubrics'!O13)</f>
        <v/>
      </c>
    </row>
    <row r="157" spans="1:18" ht="15.75" customHeight="1">
      <c r="A157" s="21" t="s">
        <v>1070</v>
      </c>
      <c r="B157" s="21" t="s">
        <v>1071</v>
      </c>
      <c r="C157" s="21" t="s">
        <v>1562</v>
      </c>
      <c r="D157" s="21" t="s">
        <v>263</v>
      </c>
      <c r="E157" s="21" t="s">
        <v>1718</v>
      </c>
      <c r="F157" s="22" t="s">
        <v>1718</v>
      </c>
      <c r="G157" s="22" t="s">
        <v>1718</v>
      </c>
      <c r="H157" s="25" t="e">
        <f t="shared" si="241"/>
        <v>#VALUE!</v>
      </c>
      <c r="I157" s="25" t="e">
        <f t="shared" si="236"/>
        <v>#VALUE!</v>
      </c>
      <c r="J157" s="21" t="e">
        <f t="shared" si="237"/>
        <v>#VALUE!</v>
      </c>
      <c r="K157" s="21" t="e">
        <f t="shared" si="242"/>
        <v>#VALUE!</v>
      </c>
      <c r="L157" s="21" t="e">
        <f t="shared" si="243"/>
        <v>#VALUE!</v>
      </c>
      <c r="M157" s="21" t="e">
        <f t="shared" si="244"/>
        <v>#VALUE!</v>
      </c>
      <c r="N157" s="21" t="e">
        <f t="shared" si="245"/>
        <v>#VALUE!</v>
      </c>
      <c r="O157" s="25" t="str">
        <f>IF('C6 Validation Rubrics'!M14="","",'C6 Validation Rubrics'!M14)</f>
        <v/>
      </c>
      <c r="P157" s="25" t="str">
        <f>IF('C6 Validation Rubrics'!N14="","",'C6 Validation Rubrics'!N14)</f>
        <v/>
      </c>
      <c r="Q157" s="25" t="str">
        <f t="shared" si="240"/>
        <v/>
      </c>
      <c r="R157" s="21" t="str">
        <f>IF('C6 Validation Rubrics'!O14="","",'C6 Validation Rubrics'!O14)</f>
        <v/>
      </c>
    </row>
    <row r="158" spans="1:18" ht="15.75" customHeight="1">
      <c r="A158" s="21" t="s">
        <v>1082</v>
      </c>
      <c r="B158" s="21" t="s">
        <v>1083</v>
      </c>
      <c r="C158" s="21" t="s">
        <v>1578</v>
      </c>
      <c r="D158" s="21" t="s">
        <v>263</v>
      </c>
      <c r="E158" s="21" t="s">
        <v>1718</v>
      </c>
      <c r="F158" s="22" t="s">
        <v>1718</v>
      </c>
      <c r="G158" s="22" t="s">
        <v>1718</v>
      </c>
      <c r="H158" s="25" t="e">
        <f t="shared" si="241"/>
        <v>#VALUE!</v>
      </c>
      <c r="I158" s="25" t="e">
        <f t="shared" si="236"/>
        <v>#VALUE!</v>
      </c>
      <c r="J158" s="21" t="e">
        <f t="shared" si="237"/>
        <v>#VALUE!</v>
      </c>
      <c r="K158" s="21" t="e">
        <f t="shared" si="242"/>
        <v>#VALUE!</v>
      </c>
      <c r="L158" s="21" t="e">
        <f t="shared" si="243"/>
        <v>#VALUE!</v>
      </c>
      <c r="M158" s="21" t="e">
        <f t="shared" si="244"/>
        <v>#VALUE!</v>
      </c>
      <c r="N158" s="21" t="e">
        <f t="shared" si="245"/>
        <v>#VALUE!</v>
      </c>
      <c r="O158" s="25" t="str">
        <f>IF('C6 Validation Rubrics'!M15="","",'C6 Validation Rubrics'!M15)</f>
        <v/>
      </c>
      <c r="P158" s="25" t="str">
        <f>IF('C6 Validation Rubrics'!N15="","",'C6 Validation Rubrics'!N15)</f>
        <v/>
      </c>
      <c r="Q158" s="25" t="str">
        <f t="shared" si="240"/>
        <v/>
      </c>
      <c r="R158" s="21" t="str">
        <f>IF('C6 Validation Rubrics'!O15="","",'C6 Validation Rubrics'!O15)</f>
        <v/>
      </c>
    </row>
    <row r="159" spans="1:18" ht="15.75" customHeight="1">
      <c r="A159" s="21" t="s">
        <v>1089</v>
      </c>
      <c r="B159" s="21" t="s">
        <v>1090</v>
      </c>
      <c r="C159" s="21" t="s">
        <v>1597</v>
      </c>
      <c r="D159" s="21" t="s">
        <v>101</v>
      </c>
      <c r="E159" s="21" t="s">
        <v>1718</v>
      </c>
      <c r="F159" s="22" t="s">
        <v>1718</v>
      </c>
      <c r="G159" s="22" t="s">
        <v>1718</v>
      </c>
      <c r="H159" s="25" t="e">
        <f t="shared" si="241"/>
        <v>#VALUE!</v>
      </c>
      <c r="I159" s="25" t="e">
        <f t="shared" si="236"/>
        <v>#VALUE!</v>
      </c>
      <c r="J159" s="21" t="e">
        <f t="shared" si="237"/>
        <v>#VALUE!</v>
      </c>
      <c r="K159" s="21" t="e">
        <f t="shared" si="242"/>
        <v>#VALUE!</v>
      </c>
      <c r="L159" s="21" t="e">
        <f t="shared" si="243"/>
        <v>#VALUE!</v>
      </c>
      <c r="M159" s="21" t="e">
        <f t="shared" si="244"/>
        <v>#VALUE!</v>
      </c>
      <c r="N159" s="21" t="e">
        <f t="shared" si="245"/>
        <v>#VALUE!</v>
      </c>
      <c r="O159" s="25" t="str">
        <f>IF('C6 Validation Rubrics'!M16="","",'C6 Validation Rubrics'!M16)</f>
        <v/>
      </c>
      <c r="P159" s="25" t="str">
        <f>IF('C6 Validation Rubrics'!N16="","",'C6 Validation Rubrics'!N16)</f>
        <v/>
      </c>
      <c r="Q159" s="25" t="str">
        <f t="shared" si="240"/>
        <v/>
      </c>
      <c r="R159" s="21" t="str">
        <f>IF('C6 Validation Rubrics'!O16="","",'C6 Validation Rubrics'!O16)</f>
        <v/>
      </c>
    </row>
    <row r="160" spans="1:18" ht="15.75" customHeight="1">
      <c r="A160" s="16" t="s">
        <v>1341</v>
      </c>
      <c r="B160" s="16" t="s">
        <v>1095</v>
      </c>
      <c r="C160" s="16"/>
      <c r="D160" s="16"/>
      <c r="E160" s="16" t="s">
        <v>1718</v>
      </c>
      <c r="F160" s="16" t="s">
        <v>1718</v>
      </c>
      <c r="G160" s="16" t="s">
        <v>1718</v>
      </c>
      <c r="H160" s="17" t="str">
        <f>IF(COUNT(H161:H167)=0,"",SUM(H161:H167))</f>
        <v/>
      </c>
      <c r="I160" s="17" t="str">
        <f t="shared" si="236"/>
        <v/>
      </c>
      <c r="J160" s="16" t="str">
        <f t="shared" si="237"/>
        <v/>
      </c>
      <c r="K160" s="16" t="e">
        <f t="shared" ref="K160:N160" si="246">SUM(K161:K167)</f>
        <v>#VALUE!</v>
      </c>
      <c r="L160" s="16" t="e">
        <f t="shared" si="246"/>
        <v>#VALUE!</v>
      </c>
      <c r="M160" s="16" t="e">
        <f t="shared" si="246"/>
        <v>#VALUE!</v>
      </c>
      <c r="N160" s="16" t="e">
        <f t="shared" si="246"/>
        <v>#VALUE!</v>
      </c>
      <c r="O160" s="17" t="str">
        <f t="shared" ref="O160:P160" si="247">IF(COUNT(O161:O167)=0,"",SUM(O161:O167))</f>
        <v/>
      </c>
      <c r="P160" s="17" t="str">
        <f t="shared" si="247"/>
        <v/>
      </c>
      <c r="Q160" s="17" t="str">
        <f t="shared" si="240"/>
        <v/>
      </c>
      <c r="R160" s="16"/>
    </row>
    <row r="161" spans="1:18" ht="15.75" customHeight="1">
      <c r="A161" s="21" t="s">
        <v>1097</v>
      </c>
      <c r="B161" s="21" t="s">
        <v>1098</v>
      </c>
      <c r="C161" s="21" t="s">
        <v>1623</v>
      </c>
      <c r="D161" s="21" t="s">
        <v>263</v>
      </c>
      <c r="E161" s="21" t="s">
        <v>1718</v>
      </c>
      <c r="F161" s="22" t="s">
        <v>1718</v>
      </c>
      <c r="G161" s="22" t="s">
        <v>1718</v>
      </c>
      <c r="H161" s="25" t="e">
        <f t="shared" ref="H161:H167" si="248">IF(OR(G161="",F161="",F161=0),"",ROUND(E161*MIN(G161/F161,1),2))</f>
        <v>#VALUE!</v>
      </c>
      <c r="I161" s="25" t="e">
        <f t="shared" si="236"/>
        <v>#VALUE!</v>
      </c>
      <c r="J161" s="21" t="e">
        <f t="shared" si="237"/>
        <v>#VALUE!</v>
      </c>
      <c r="K161" s="21" t="e">
        <f t="shared" ref="K161:K167" si="249">IF($J161="Y",1,"")</f>
        <v>#VALUE!</v>
      </c>
      <c r="L161" s="21" t="e">
        <f t="shared" ref="L161:L167" si="250">IF($J161="C",1,"")</f>
        <v>#VALUE!</v>
      </c>
      <c r="M161" s="21" t="e">
        <f t="shared" ref="M161:M167" si="251">IF($J161="W",1,"")</f>
        <v>#VALUE!</v>
      </c>
      <c r="N161" s="21" t="e">
        <f t="shared" ref="N161:N167" si="252">IF($J161="D",1,"")</f>
        <v>#VALUE!</v>
      </c>
      <c r="O161" s="25" t="str">
        <f>IF('C6 Validation Rubrics'!M18="","",'C6 Validation Rubrics'!M18)</f>
        <v/>
      </c>
      <c r="P161" s="25" t="str">
        <f>IF('C6 Validation Rubrics'!N18="","",'C6 Validation Rubrics'!N18)</f>
        <v/>
      </c>
      <c r="Q161" s="25" t="str">
        <f t="shared" si="240"/>
        <v/>
      </c>
      <c r="R161" s="21" t="str">
        <f>IF('C6 Validation Rubrics'!O18="","",'C6 Validation Rubrics'!O18)</f>
        <v/>
      </c>
    </row>
    <row r="162" spans="1:18" ht="15.75" customHeight="1">
      <c r="A162" s="21" t="s">
        <v>1107</v>
      </c>
      <c r="B162" s="21" t="s">
        <v>1108</v>
      </c>
      <c r="C162" s="21" t="s">
        <v>1624</v>
      </c>
      <c r="D162" s="21" t="s">
        <v>263</v>
      </c>
      <c r="E162" s="21" t="s">
        <v>1718</v>
      </c>
      <c r="F162" s="22" t="s">
        <v>1718</v>
      </c>
      <c r="G162" s="22" t="s">
        <v>1718</v>
      </c>
      <c r="H162" s="25" t="e">
        <f t="shared" si="248"/>
        <v>#VALUE!</v>
      </c>
      <c r="I162" s="25" t="e">
        <f t="shared" si="236"/>
        <v>#VALUE!</v>
      </c>
      <c r="J162" s="21" t="e">
        <f t="shared" si="237"/>
        <v>#VALUE!</v>
      </c>
      <c r="K162" s="21" t="e">
        <f t="shared" si="249"/>
        <v>#VALUE!</v>
      </c>
      <c r="L162" s="21" t="e">
        <f t="shared" si="250"/>
        <v>#VALUE!</v>
      </c>
      <c r="M162" s="21" t="e">
        <f t="shared" si="251"/>
        <v>#VALUE!</v>
      </c>
      <c r="N162" s="21" t="e">
        <f t="shared" si="252"/>
        <v>#VALUE!</v>
      </c>
      <c r="O162" s="25" t="str">
        <f>IF('C6 Validation Rubrics'!M19="","",'C6 Validation Rubrics'!M19)</f>
        <v/>
      </c>
      <c r="P162" s="25" t="str">
        <f>IF('C6 Validation Rubrics'!N19="","",'C6 Validation Rubrics'!N19)</f>
        <v/>
      </c>
      <c r="Q162" s="25" t="str">
        <f t="shared" si="240"/>
        <v/>
      </c>
      <c r="R162" s="21" t="str">
        <f>IF('C6 Validation Rubrics'!O19="","",'C6 Validation Rubrics'!O19)</f>
        <v/>
      </c>
    </row>
    <row r="163" spans="1:18" ht="15.75" customHeight="1">
      <c r="A163" s="21" t="s">
        <v>1115</v>
      </c>
      <c r="B163" s="21" t="s">
        <v>1116</v>
      </c>
      <c r="C163" s="21" t="s">
        <v>1625</v>
      </c>
      <c r="D163" s="21" t="s">
        <v>263</v>
      </c>
      <c r="E163" s="21" t="s">
        <v>1718</v>
      </c>
      <c r="F163" s="22" t="s">
        <v>1718</v>
      </c>
      <c r="G163" s="22" t="s">
        <v>1718</v>
      </c>
      <c r="H163" s="25" t="e">
        <f t="shared" si="248"/>
        <v>#VALUE!</v>
      </c>
      <c r="I163" s="25" t="e">
        <f t="shared" si="236"/>
        <v>#VALUE!</v>
      </c>
      <c r="J163" s="21" t="e">
        <f t="shared" si="237"/>
        <v>#VALUE!</v>
      </c>
      <c r="K163" s="21" t="e">
        <f t="shared" si="249"/>
        <v>#VALUE!</v>
      </c>
      <c r="L163" s="21" t="e">
        <f t="shared" si="250"/>
        <v>#VALUE!</v>
      </c>
      <c r="M163" s="21" t="e">
        <f t="shared" si="251"/>
        <v>#VALUE!</v>
      </c>
      <c r="N163" s="21" t="e">
        <f t="shared" si="252"/>
        <v>#VALUE!</v>
      </c>
      <c r="O163" s="25" t="str">
        <f>IF('C6 Validation Rubrics'!M20="","",'C6 Validation Rubrics'!M20)</f>
        <v/>
      </c>
      <c r="P163" s="25" t="str">
        <f>IF('C6 Validation Rubrics'!N20="","",'C6 Validation Rubrics'!N20)</f>
        <v/>
      </c>
      <c r="Q163" s="25" t="str">
        <f t="shared" si="240"/>
        <v/>
      </c>
      <c r="R163" s="21" t="str">
        <f>IF('C6 Validation Rubrics'!O20="","",'C6 Validation Rubrics'!O20)</f>
        <v/>
      </c>
    </row>
    <row r="164" spans="1:18" ht="15.75" customHeight="1">
      <c r="A164" s="21" t="s">
        <v>1122</v>
      </c>
      <c r="B164" s="21" t="s">
        <v>1123</v>
      </c>
      <c r="C164" s="21" t="s">
        <v>1626</v>
      </c>
      <c r="D164" s="21" t="s">
        <v>263</v>
      </c>
      <c r="E164" s="21" t="s">
        <v>1718</v>
      </c>
      <c r="F164" s="22" t="s">
        <v>1718</v>
      </c>
      <c r="G164" s="22" t="s">
        <v>1718</v>
      </c>
      <c r="H164" s="25" t="e">
        <f t="shared" si="248"/>
        <v>#VALUE!</v>
      </c>
      <c r="I164" s="25" t="e">
        <f t="shared" si="236"/>
        <v>#VALUE!</v>
      </c>
      <c r="J164" s="21" t="e">
        <f t="shared" si="237"/>
        <v>#VALUE!</v>
      </c>
      <c r="K164" s="21" t="e">
        <f t="shared" si="249"/>
        <v>#VALUE!</v>
      </c>
      <c r="L164" s="21" t="e">
        <f t="shared" si="250"/>
        <v>#VALUE!</v>
      </c>
      <c r="M164" s="21" t="e">
        <f t="shared" si="251"/>
        <v>#VALUE!</v>
      </c>
      <c r="N164" s="21" t="e">
        <f t="shared" si="252"/>
        <v>#VALUE!</v>
      </c>
      <c r="O164" s="25" t="str">
        <f>IF('C6 Validation Rubrics'!M21="","",'C6 Validation Rubrics'!M21)</f>
        <v/>
      </c>
      <c r="P164" s="25" t="str">
        <f>IF('C6 Validation Rubrics'!N21="","",'C6 Validation Rubrics'!N21)</f>
        <v/>
      </c>
      <c r="Q164" s="25" t="str">
        <f t="shared" si="240"/>
        <v/>
      </c>
      <c r="R164" s="21" t="str">
        <f>IF('C6 Validation Rubrics'!O21="","",'C6 Validation Rubrics'!O21)</f>
        <v/>
      </c>
    </row>
    <row r="165" spans="1:18" ht="15.75" customHeight="1">
      <c r="A165" s="21" t="s">
        <v>1131</v>
      </c>
      <c r="B165" s="21" t="s">
        <v>1134</v>
      </c>
      <c r="C165" s="21" t="s">
        <v>1360</v>
      </c>
      <c r="D165" s="21" t="s">
        <v>263</v>
      </c>
      <c r="E165" s="21" t="s">
        <v>1718</v>
      </c>
      <c r="F165" s="22" t="s">
        <v>1718</v>
      </c>
      <c r="G165" s="22" t="s">
        <v>1718</v>
      </c>
      <c r="H165" s="25" t="e">
        <f t="shared" si="248"/>
        <v>#VALUE!</v>
      </c>
      <c r="I165" s="25" t="e">
        <f t="shared" si="236"/>
        <v>#VALUE!</v>
      </c>
      <c r="J165" s="21" t="e">
        <f t="shared" si="237"/>
        <v>#VALUE!</v>
      </c>
      <c r="K165" s="21" t="e">
        <f t="shared" si="249"/>
        <v>#VALUE!</v>
      </c>
      <c r="L165" s="21" t="e">
        <f t="shared" si="250"/>
        <v>#VALUE!</v>
      </c>
      <c r="M165" s="21" t="e">
        <f t="shared" si="251"/>
        <v>#VALUE!</v>
      </c>
      <c r="N165" s="21" t="e">
        <f t="shared" si="252"/>
        <v>#VALUE!</v>
      </c>
      <c r="O165" s="25" t="str">
        <f>IF('C6 Validation Rubrics'!M22="","",'C6 Validation Rubrics'!M22)</f>
        <v/>
      </c>
      <c r="P165" s="25" t="str">
        <f>IF('C6 Validation Rubrics'!N22="","",'C6 Validation Rubrics'!N22)</f>
        <v/>
      </c>
      <c r="Q165" s="25" t="str">
        <f t="shared" si="240"/>
        <v/>
      </c>
      <c r="R165" s="21" t="str">
        <f>IF('C6 Validation Rubrics'!O22="","",'C6 Validation Rubrics'!O22)</f>
        <v/>
      </c>
    </row>
    <row r="166" spans="1:18" ht="15.75" customHeight="1">
      <c r="A166" s="21" t="s">
        <v>1143</v>
      </c>
      <c r="B166" s="21" t="s">
        <v>1144</v>
      </c>
      <c r="C166" s="21" t="s">
        <v>1366</v>
      </c>
      <c r="D166" s="21" t="s">
        <v>263</v>
      </c>
      <c r="E166" s="21" t="s">
        <v>1718</v>
      </c>
      <c r="F166" s="22" t="s">
        <v>1718</v>
      </c>
      <c r="G166" s="22" t="s">
        <v>1718</v>
      </c>
      <c r="H166" s="25" t="e">
        <f t="shared" si="248"/>
        <v>#VALUE!</v>
      </c>
      <c r="I166" s="25" t="e">
        <f t="shared" si="236"/>
        <v>#VALUE!</v>
      </c>
      <c r="J166" s="21" t="e">
        <f t="shared" si="237"/>
        <v>#VALUE!</v>
      </c>
      <c r="K166" s="21" t="e">
        <f t="shared" si="249"/>
        <v>#VALUE!</v>
      </c>
      <c r="L166" s="21" t="e">
        <f t="shared" si="250"/>
        <v>#VALUE!</v>
      </c>
      <c r="M166" s="21" t="e">
        <f t="shared" si="251"/>
        <v>#VALUE!</v>
      </c>
      <c r="N166" s="21" t="e">
        <f t="shared" si="252"/>
        <v>#VALUE!</v>
      </c>
      <c r="O166" s="25" t="str">
        <f>IF('C6 Validation Rubrics'!M23="","",'C6 Validation Rubrics'!M23)</f>
        <v/>
      </c>
      <c r="P166" s="25" t="str">
        <f>IF('C6 Validation Rubrics'!N23="","",'C6 Validation Rubrics'!N23)</f>
        <v/>
      </c>
      <c r="Q166" s="25" t="str">
        <f t="shared" si="240"/>
        <v/>
      </c>
      <c r="R166" s="21" t="str">
        <f>IF('C6 Validation Rubrics'!O23="","",'C6 Validation Rubrics'!O23)</f>
        <v/>
      </c>
    </row>
    <row r="167" spans="1:18" ht="15.75" customHeight="1">
      <c r="A167" s="21" t="s">
        <v>1149</v>
      </c>
      <c r="B167" s="21" t="s">
        <v>1150</v>
      </c>
      <c r="C167" s="21" t="s">
        <v>1628</v>
      </c>
      <c r="D167" s="21" t="s">
        <v>263</v>
      </c>
      <c r="E167" s="21" t="s">
        <v>1718</v>
      </c>
      <c r="F167" s="22" t="s">
        <v>1718</v>
      </c>
      <c r="G167" s="22" t="s">
        <v>1718</v>
      </c>
      <c r="H167" s="25" t="e">
        <f t="shared" si="248"/>
        <v>#VALUE!</v>
      </c>
      <c r="I167" s="25" t="e">
        <f t="shared" si="236"/>
        <v>#VALUE!</v>
      </c>
      <c r="J167" s="21" t="e">
        <f t="shared" si="237"/>
        <v>#VALUE!</v>
      </c>
      <c r="K167" s="21" t="e">
        <f t="shared" si="249"/>
        <v>#VALUE!</v>
      </c>
      <c r="L167" s="21" t="e">
        <f t="shared" si="250"/>
        <v>#VALUE!</v>
      </c>
      <c r="M167" s="21" t="e">
        <f t="shared" si="251"/>
        <v>#VALUE!</v>
      </c>
      <c r="N167" s="21" t="e">
        <f t="shared" si="252"/>
        <v>#VALUE!</v>
      </c>
      <c r="O167" s="25" t="str">
        <f>IF('C6 Validation Rubrics'!M24="","",'C6 Validation Rubrics'!M24)</f>
        <v/>
      </c>
      <c r="P167" s="25" t="str">
        <f>IF('C6 Validation Rubrics'!N24="","",'C6 Validation Rubrics'!N24)</f>
        <v/>
      </c>
      <c r="Q167" s="25" t="str">
        <f t="shared" si="240"/>
        <v/>
      </c>
      <c r="R167" s="21" t="str">
        <f>IF('C6 Validation Rubrics'!O24="","",'C6 Validation Rubrics'!O24)</f>
        <v/>
      </c>
    </row>
    <row r="168" spans="1:18" ht="15.75" customHeight="1">
      <c r="A168" s="23" t="s">
        <v>69</v>
      </c>
      <c r="B168" s="23" t="s">
        <v>1166</v>
      </c>
      <c r="C168" s="23"/>
      <c r="D168" s="23"/>
      <c r="E168" s="23" t="s">
        <v>1718</v>
      </c>
      <c r="F168" s="23" t="s">
        <v>1718</v>
      </c>
      <c r="G168" s="23" t="s">
        <v>1718</v>
      </c>
      <c r="H168" s="35" t="str">
        <f>IF(COUNT(H151,H160)=0,"",N(H151)+N(H160))</f>
        <v/>
      </c>
      <c r="I168" s="35" t="str">
        <f t="shared" si="236"/>
        <v/>
      </c>
      <c r="J168" s="23" t="str">
        <f t="shared" si="237"/>
        <v/>
      </c>
      <c r="K168" s="23" t="e">
        <f t="shared" ref="K168:N168" si="253">N(K151)+N(K160)</f>
        <v>#VALUE!</v>
      </c>
      <c r="L168" s="23" t="e">
        <f t="shared" si="253"/>
        <v>#VALUE!</v>
      </c>
      <c r="M168" s="23" t="e">
        <f t="shared" si="253"/>
        <v>#VALUE!</v>
      </c>
      <c r="N168" s="23" t="e">
        <f t="shared" si="253"/>
        <v>#VALUE!</v>
      </c>
      <c r="O168" s="35" t="str">
        <f t="shared" ref="O168:P168" si="254">IF(COUNT(O151,O160)=0,"",N(O151)+N(O160))</f>
        <v/>
      </c>
      <c r="P168" s="35" t="str">
        <f t="shared" si="254"/>
        <v/>
      </c>
      <c r="Q168" s="35" t="str">
        <f t="shared" si="240"/>
        <v/>
      </c>
      <c r="R168" s="23"/>
    </row>
    <row r="169" spans="1:18" ht="15.75" customHeight="1">
      <c r="A169" s="13" t="s">
        <v>70</v>
      </c>
      <c r="B169" s="44" t="s">
        <v>1669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6"/>
    </row>
    <row r="170" spans="1:18" ht="15.75" customHeight="1">
      <c r="A170" s="16" t="s">
        <v>1392</v>
      </c>
      <c r="B170" s="16" t="s">
        <v>1113</v>
      </c>
      <c r="C170" s="16"/>
      <c r="D170" s="16"/>
      <c r="E170" s="16" t="s">
        <v>1718</v>
      </c>
      <c r="F170" s="16" t="s">
        <v>1718</v>
      </c>
      <c r="G170" s="16" t="s">
        <v>1718</v>
      </c>
      <c r="H170" s="17" t="str">
        <f>IF(COUNT(H171:H174)=0,"",SUM(H171:H174))</f>
        <v/>
      </c>
      <c r="I170" s="17" t="str">
        <f t="shared" ref="I170:I187" si="255">IF(H170="","",ROUND(H170/E170*100,2))</f>
        <v/>
      </c>
      <c r="J170" s="16" t="str">
        <f t="shared" ref="J170:J187" si="256">IF(I170="","",IF(I170&gt;YT*100,"Y",IF(I170&gt;=CT*100,"C",IF(I170&gt;=WT*100,"W","D"))))</f>
        <v/>
      </c>
      <c r="K170" s="16" t="e">
        <f t="shared" ref="K170:N170" si="257">SUM(K171:K174)</f>
        <v>#VALUE!</v>
      </c>
      <c r="L170" s="16" t="e">
        <f t="shared" si="257"/>
        <v>#VALUE!</v>
      </c>
      <c r="M170" s="16" t="e">
        <f t="shared" si="257"/>
        <v>#VALUE!</v>
      </c>
      <c r="N170" s="16" t="e">
        <f t="shared" si="257"/>
        <v>#VALUE!</v>
      </c>
      <c r="O170" s="17" t="str">
        <f t="shared" ref="O170:P170" si="258">IF(COUNT(O171:O174)=0,"",SUM(O171:O174))</f>
        <v/>
      </c>
      <c r="P170" s="17" t="str">
        <f t="shared" si="258"/>
        <v/>
      </c>
      <c r="Q170" s="17" t="str">
        <f t="shared" ref="Q170:Q187" si="259">IF(N(O170)=0,"",ROUND(N(P170)/O170*100,2))</f>
        <v/>
      </c>
      <c r="R170" s="16"/>
    </row>
    <row r="171" spans="1:18" ht="15.75" customHeight="1">
      <c r="A171" s="21" t="s">
        <v>1127</v>
      </c>
      <c r="B171" s="21" t="s">
        <v>1128</v>
      </c>
      <c r="C171" s="21" t="s">
        <v>1671</v>
      </c>
      <c r="D171" s="21" t="s">
        <v>101</v>
      </c>
      <c r="E171" s="21" t="s">
        <v>1718</v>
      </c>
      <c r="F171" s="22" t="s">
        <v>1718</v>
      </c>
      <c r="G171" s="22" t="s">
        <v>1718</v>
      </c>
      <c r="H171" s="25" t="e">
        <f t="shared" ref="H171:H174" si="260">IF(OR(G171="",F171="",F171=0),"",ROUND(E171*MIN(G171/F171,1),2))</f>
        <v>#VALUE!</v>
      </c>
      <c r="I171" s="25" t="e">
        <f t="shared" si="255"/>
        <v>#VALUE!</v>
      </c>
      <c r="J171" s="21" t="e">
        <f t="shared" si="256"/>
        <v>#VALUE!</v>
      </c>
      <c r="K171" s="21" t="e">
        <f t="shared" ref="K171:K174" si="261">IF($J171="Y",1,"")</f>
        <v>#VALUE!</v>
      </c>
      <c r="L171" s="21" t="e">
        <f t="shared" ref="L171:L174" si="262">IF($J171="C",1,"")</f>
        <v>#VALUE!</v>
      </c>
      <c r="M171" s="21" t="e">
        <f t="shared" ref="M171:M174" si="263">IF($J171="W",1,"")</f>
        <v>#VALUE!</v>
      </c>
      <c r="N171" s="21" t="e">
        <f t="shared" ref="N171:N174" si="264">IF($J171="D",1,"")</f>
        <v>#VALUE!</v>
      </c>
      <c r="O171" s="25" t="str">
        <f>IF('C7 Validation Rubrics'!M9="","",'C7 Validation Rubrics'!M9)</f>
        <v/>
      </c>
      <c r="P171" s="25" t="str">
        <f>IF('C7 Validation Rubrics'!N9="","",'C7 Validation Rubrics'!N9)</f>
        <v/>
      </c>
      <c r="Q171" s="25" t="str">
        <f t="shared" si="259"/>
        <v/>
      </c>
      <c r="R171" s="21" t="str">
        <f>IF('C7 Validation Rubrics'!O9="","",'C7 Validation Rubrics'!O9)</f>
        <v/>
      </c>
    </row>
    <row r="172" spans="1:18" ht="15.75" customHeight="1">
      <c r="A172" s="21" t="s">
        <v>1157</v>
      </c>
      <c r="B172" s="21" t="s">
        <v>1158</v>
      </c>
      <c r="C172" s="21" t="s">
        <v>1673</v>
      </c>
      <c r="D172" s="21" t="s">
        <v>101</v>
      </c>
      <c r="E172" s="21" t="s">
        <v>1718</v>
      </c>
      <c r="F172" s="22" t="s">
        <v>1718</v>
      </c>
      <c r="G172" s="22" t="s">
        <v>1718</v>
      </c>
      <c r="H172" s="25" t="e">
        <f t="shared" si="260"/>
        <v>#VALUE!</v>
      </c>
      <c r="I172" s="25" t="e">
        <f t="shared" si="255"/>
        <v>#VALUE!</v>
      </c>
      <c r="J172" s="21" t="e">
        <f t="shared" si="256"/>
        <v>#VALUE!</v>
      </c>
      <c r="K172" s="21" t="e">
        <f t="shared" si="261"/>
        <v>#VALUE!</v>
      </c>
      <c r="L172" s="21" t="e">
        <f t="shared" si="262"/>
        <v>#VALUE!</v>
      </c>
      <c r="M172" s="21" t="e">
        <f t="shared" si="263"/>
        <v>#VALUE!</v>
      </c>
      <c r="N172" s="21" t="e">
        <f t="shared" si="264"/>
        <v>#VALUE!</v>
      </c>
      <c r="O172" s="25" t="str">
        <f>IF('C7 Validation Rubrics'!M10="","",'C7 Validation Rubrics'!M10)</f>
        <v/>
      </c>
      <c r="P172" s="25" t="str">
        <f>IF('C7 Validation Rubrics'!N10="","",'C7 Validation Rubrics'!N10)</f>
        <v/>
      </c>
      <c r="Q172" s="25" t="str">
        <f t="shared" si="259"/>
        <v/>
      </c>
      <c r="R172" s="21" t="str">
        <f>IF('C7 Validation Rubrics'!O10="","",'C7 Validation Rubrics'!O10)</f>
        <v/>
      </c>
    </row>
    <row r="173" spans="1:18" ht="15.75" customHeight="1">
      <c r="A173" s="21" t="s">
        <v>1167</v>
      </c>
      <c r="B173" s="21" t="s">
        <v>1168</v>
      </c>
      <c r="C173" s="21" t="s">
        <v>1675</v>
      </c>
      <c r="D173" s="21" t="s">
        <v>101</v>
      </c>
      <c r="E173" s="21" t="s">
        <v>1718</v>
      </c>
      <c r="F173" s="22" t="s">
        <v>1718</v>
      </c>
      <c r="G173" s="22" t="s">
        <v>1718</v>
      </c>
      <c r="H173" s="25" t="e">
        <f t="shared" si="260"/>
        <v>#VALUE!</v>
      </c>
      <c r="I173" s="25" t="e">
        <f t="shared" si="255"/>
        <v>#VALUE!</v>
      </c>
      <c r="J173" s="21" t="e">
        <f t="shared" si="256"/>
        <v>#VALUE!</v>
      </c>
      <c r="K173" s="21" t="e">
        <f t="shared" si="261"/>
        <v>#VALUE!</v>
      </c>
      <c r="L173" s="21" t="e">
        <f t="shared" si="262"/>
        <v>#VALUE!</v>
      </c>
      <c r="M173" s="21" t="e">
        <f t="shared" si="263"/>
        <v>#VALUE!</v>
      </c>
      <c r="N173" s="21" t="e">
        <f t="shared" si="264"/>
        <v>#VALUE!</v>
      </c>
      <c r="O173" s="25" t="str">
        <f>IF('C7 Validation Rubrics'!M11="","",'C7 Validation Rubrics'!M11)</f>
        <v/>
      </c>
      <c r="P173" s="25" t="str">
        <f>IF('C7 Validation Rubrics'!N11="","",'C7 Validation Rubrics'!N11)</f>
        <v/>
      </c>
      <c r="Q173" s="25" t="str">
        <f t="shared" si="259"/>
        <v/>
      </c>
      <c r="R173" s="21" t="str">
        <f>IF('C7 Validation Rubrics'!O11="","",'C7 Validation Rubrics'!O11)</f>
        <v/>
      </c>
    </row>
    <row r="174" spans="1:18" ht="15.75" customHeight="1">
      <c r="A174" s="21" t="s">
        <v>1178</v>
      </c>
      <c r="B174" s="21" t="s">
        <v>1179</v>
      </c>
      <c r="C174" s="21" t="s">
        <v>1677</v>
      </c>
      <c r="D174" s="21" t="s">
        <v>101</v>
      </c>
      <c r="E174" s="21" t="s">
        <v>1718</v>
      </c>
      <c r="F174" s="22" t="s">
        <v>1718</v>
      </c>
      <c r="G174" s="22" t="s">
        <v>1718</v>
      </c>
      <c r="H174" s="25" t="e">
        <f t="shared" si="260"/>
        <v>#VALUE!</v>
      </c>
      <c r="I174" s="25" t="e">
        <f t="shared" si="255"/>
        <v>#VALUE!</v>
      </c>
      <c r="J174" s="21" t="e">
        <f t="shared" si="256"/>
        <v>#VALUE!</v>
      </c>
      <c r="K174" s="21" t="e">
        <f t="shared" si="261"/>
        <v>#VALUE!</v>
      </c>
      <c r="L174" s="21" t="e">
        <f t="shared" si="262"/>
        <v>#VALUE!</v>
      </c>
      <c r="M174" s="21" t="e">
        <f t="shared" si="263"/>
        <v>#VALUE!</v>
      </c>
      <c r="N174" s="21" t="e">
        <f t="shared" si="264"/>
        <v>#VALUE!</v>
      </c>
      <c r="O174" s="25" t="str">
        <f>IF('C7 Validation Rubrics'!M12="","",'C7 Validation Rubrics'!M12)</f>
        <v/>
      </c>
      <c r="P174" s="25" t="str">
        <f>IF('C7 Validation Rubrics'!N12="","",'C7 Validation Rubrics'!N12)</f>
        <v/>
      </c>
      <c r="Q174" s="25" t="str">
        <f t="shared" si="259"/>
        <v/>
      </c>
      <c r="R174" s="21" t="str">
        <f>IF('C7 Validation Rubrics'!O12="","",'C7 Validation Rubrics'!O12)</f>
        <v/>
      </c>
    </row>
    <row r="175" spans="1:18" ht="15.75" customHeight="1">
      <c r="A175" s="16" t="s">
        <v>1402</v>
      </c>
      <c r="B175" s="16" t="s">
        <v>1184</v>
      </c>
      <c r="C175" s="16"/>
      <c r="D175" s="16"/>
      <c r="E175" s="16" t="s">
        <v>1718</v>
      </c>
      <c r="F175" s="16" t="s">
        <v>1718</v>
      </c>
      <c r="G175" s="16" t="s">
        <v>1718</v>
      </c>
      <c r="H175" s="17" t="str">
        <f>IF(COUNT(H176:H177)=0,"",SUM(H176:H177))</f>
        <v/>
      </c>
      <c r="I175" s="17" t="str">
        <f t="shared" si="255"/>
        <v/>
      </c>
      <c r="J175" s="16" t="str">
        <f t="shared" si="256"/>
        <v/>
      </c>
      <c r="K175" s="16" t="e">
        <f t="shared" ref="K175:N175" si="265">SUM(K176:K177)</f>
        <v>#VALUE!</v>
      </c>
      <c r="L175" s="16" t="e">
        <f t="shared" si="265"/>
        <v>#VALUE!</v>
      </c>
      <c r="M175" s="16" t="e">
        <f t="shared" si="265"/>
        <v>#VALUE!</v>
      </c>
      <c r="N175" s="16" t="e">
        <f t="shared" si="265"/>
        <v>#VALUE!</v>
      </c>
      <c r="O175" s="17" t="str">
        <f t="shared" ref="O175:P175" si="266">IF(COUNT(O176:O177)=0,"",SUM(O176:O177))</f>
        <v/>
      </c>
      <c r="P175" s="17" t="str">
        <f t="shared" si="266"/>
        <v/>
      </c>
      <c r="Q175" s="17" t="str">
        <f t="shared" si="259"/>
        <v/>
      </c>
      <c r="R175" s="16"/>
    </row>
    <row r="176" spans="1:18" ht="15.75" customHeight="1">
      <c r="A176" s="21" t="s">
        <v>1186</v>
      </c>
      <c r="B176" s="21" t="s">
        <v>1187</v>
      </c>
      <c r="C176" s="21" t="s">
        <v>1679</v>
      </c>
      <c r="D176" s="21" t="s">
        <v>263</v>
      </c>
      <c r="E176" s="21" t="s">
        <v>1718</v>
      </c>
      <c r="F176" s="22" t="s">
        <v>1718</v>
      </c>
      <c r="G176" s="22" t="s">
        <v>1718</v>
      </c>
      <c r="H176" s="25" t="e">
        <f t="shared" ref="H176:H177" si="267">IF(OR(G176="",F176="",F176=0),"",ROUND(E176*MIN(G176/F176,1),2))</f>
        <v>#VALUE!</v>
      </c>
      <c r="I176" s="25" t="e">
        <f t="shared" si="255"/>
        <v>#VALUE!</v>
      </c>
      <c r="J176" s="21" t="e">
        <f t="shared" si="256"/>
        <v>#VALUE!</v>
      </c>
      <c r="K176" s="21" t="e">
        <f t="shared" ref="K176:K177" si="268">IF($J176="Y",1,"")</f>
        <v>#VALUE!</v>
      </c>
      <c r="L176" s="21" t="e">
        <f t="shared" ref="L176:L177" si="269">IF($J176="C",1,"")</f>
        <v>#VALUE!</v>
      </c>
      <c r="M176" s="21" t="e">
        <f t="shared" ref="M176:M177" si="270">IF($J176="W",1,"")</f>
        <v>#VALUE!</v>
      </c>
      <c r="N176" s="21" t="e">
        <f t="shared" ref="N176:N177" si="271">IF($J176="D",1,"")</f>
        <v>#VALUE!</v>
      </c>
      <c r="O176" s="25" t="str">
        <f>IF('C7 Validation Rubrics'!M14="","",'C7 Validation Rubrics'!M14)</f>
        <v/>
      </c>
      <c r="P176" s="25" t="str">
        <f>IF('C7 Validation Rubrics'!N14="","",'C7 Validation Rubrics'!N14)</f>
        <v/>
      </c>
      <c r="Q176" s="25" t="str">
        <f t="shared" si="259"/>
        <v/>
      </c>
      <c r="R176" s="21" t="str">
        <f>IF('C7 Validation Rubrics'!O14="","",'C7 Validation Rubrics'!O14)</f>
        <v/>
      </c>
    </row>
    <row r="177" spans="1:18" ht="15.75" customHeight="1">
      <c r="A177" s="21" t="s">
        <v>1196</v>
      </c>
      <c r="B177" s="21" t="s">
        <v>1197</v>
      </c>
      <c r="C177" s="21" t="s">
        <v>1680</v>
      </c>
      <c r="D177" s="21" t="s">
        <v>101</v>
      </c>
      <c r="E177" s="21" t="s">
        <v>1718</v>
      </c>
      <c r="F177" s="22" t="s">
        <v>1718</v>
      </c>
      <c r="G177" s="22" t="s">
        <v>1718</v>
      </c>
      <c r="H177" s="25" t="e">
        <f t="shared" si="267"/>
        <v>#VALUE!</v>
      </c>
      <c r="I177" s="25" t="e">
        <f t="shared" si="255"/>
        <v>#VALUE!</v>
      </c>
      <c r="J177" s="21" t="e">
        <f t="shared" si="256"/>
        <v>#VALUE!</v>
      </c>
      <c r="K177" s="21" t="e">
        <f t="shared" si="268"/>
        <v>#VALUE!</v>
      </c>
      <c r="L177" s="21" t="e">
        <f t="shared" si="269"/>
        <v>#VALUE!</v>
      </c>
      <c r="M177" s="21" t="e">
        <f t="shared" si="270"/>
        <v>#VALUE!</v>
      </c>
      <c r="N177" s="21" t="e">
        <f t="shared" si="271"/>
        <v>#VALUE!</v>
      </c>
      <c r="O177" s="25" t="str">
        <f>IF('C7 Validation Rubrics'!M15="","",'C7 Validation Rubrics'!M15)</f>
        <v/>
      </c>
      <c r="P177" s="25" t="str">
        <f>IF('C7 Validation Rubrics'!N15="","",'C7 Validation Rubrics'!N15)</f>
        <v/>
      </c>
      <c r="Q177" s="25" t="str">
        <f t="shared" si="259"/>
        <v/>
      </c>
      <c r="R177" s="21" t="str">
        <f>IF('C7 Validation Rubrics'!O15="","",'C7 Validation Rubrics'!O15)</f>
        <v/>
      </c>
    </row>
    <row r="178" spans="1:18" ht="15.75" customHeight="1">
      <c r="A178" s="16" t="s">
        <v>1409</v>
      </c>
      <c r="B178" s="16" t="s">
        <v>1205</v>
      </c>
      <c r="C178" s="16"/>
      <c r="D178" s="16"/>
      <c r="E178" s="16" t="s">
        <v>1718</v>
      </c>
      <c r="F178" s="16" t="s">
        <v>1718</v>
      </c>
      <c r="G178" s="16" t="s">
        <v>1718</v>
      </c>
      <c r="H178" s="17" t="str">
        <f>IF(COUNT(H179:H180)=0,"",SUM(H179:H180))</f>
        <v/>
      </c>
      <c r="I178" s="17" t="str">
        <f t="shared" si="255"/>
        <v/>
      </c>
      <c r="J178" s="16" t="str">
        <f t="shared" si="256"/>
        <v/>
      </c>
      <c r="K178" s="16" t="e">
        <f t="shared" ref="K178:N178" si="272">SUM(K179:K180)</f>
        <v>#VALUE!</v>
      </c>
      <c r="L178" s="16" t="e">
        <f t="shared" si="272"/>
        <v>#VALUE!</v>
      </c>
      <c r="M178" s="16" t="e">
        <f t="shared" si="272"/>
        <v>#VALUE!</v>
      </c>
      <c r="N178" s="16" t="e">
        <f t="shared" si="272"/>
        <v>#VALUE!</v>
      </c>
      <c r="O178" s="17" t="str">
        <f t="shared" ref="O178:P178" si="273">IF(COUNT(O179:O180)=0,"",SUM(O179:O180))</f>
        <v/>
      </c>
      <c r="P178" s="17" t="str">
        <f t="shared" si="273"/>
        <v/>
      </c>
      <c r="Q178" s="17" t="str">
        <f t="shared" si="259"/>
        <v/>
      </c>
      <c r="R178" s="16"/>
    </row>
    <row r="179" spans="1:18" ht="15.75" customHeight="1">
      <c r="A179" s="21" t="s">
        <v>1215</v>
      </c>
      <c r="B179" s="21" t="s">
        <v>1216</v>
      </c>
      <c r="C179" s="21" t="s">
        <v>1681</v>
      </c>
      <c r="D179" s="21" t="s">
        <v>101</v>
      </c>
      <c r="E179" s="21" t="s">
        <v>1718</v>
      </c>
      <c r="F179" s="22" t="s">
        <v>1718</v>
      </c>
      <c r="G179" s="22" t="s">
        <v>1718</v>
      </c>
      <c r="H179" s="25" t="e">
        <f t="shared" ref="H179:H180" si="274">IF(OR(G179="",F179="",F179=0),"",ROUND(E179*MIN(G179/F179,1),2))</f>
        <v>#VALUE!</v>
      </c>
      <c r="I179" s="25" t="e">
        <f t="shared" si="255"/>
        <v>#VALUE!</v>
      </c>
      <c r="J179" s="21" t="e">
        <f t="shared" si="256"/>
        <v>#VALUE!</v>
      </c>
      <c r="K179" s="21" t="e">
        <f t="shared" ref="K179:K180" si="275">IF($J179="Y",1,"")</f>
        <v>#VALUE!</v>
      </c>
      <c r="L179" s="21" t="e">
        <f t="shared" ref="L179:L180" si="276">IF($J179="C",1,"")</f>
        <v>#VALUE!</v>
      </c>
      <c r="M179" s="21" t="e">
        <f t="shared" ref="M179:M180" si="277">IF($J179="W",1,"")</f>
        <v>#VALUE!</v>
      </c>
      <c r="N179" s="21" t="e">
        <f t="shared" ref="N179:N180" si="278">IF($J179="D",1,"")</f>
        <v>#VALUE!</v>
      </c>
      <c r="O179" s="25" t="str">
        <f>IF('C7 Validation Rubrics'!M17="","",'C7 Validation Rubrics'!M17)</f>
        <v/>
      </c>
      <c r="P179" s="25" t="str">
        <f>IF('C7 Validation Rubrics'!N17="","",'C7 Validation Rubrics'!N17)</f>
        <v/>
      </c>
      <c r="Q179" s="25" t="str">
        <f t="shared" si="259"/>
        <v/>
      </c>
      <c r="R179" s="21" t="str">
        <f>IF('C7 Validation Rubrics'!O17="","",'C7 Validation Rubrics'!O17)</f>
        <v/>
      </c>
    </row>
    <row r="180" spans="1:18" ht="15.75" customHeight="1">
      <c r="A180" s="21" t="s">
        <v>1233</v>
      </c>
      <c r="B180" s="21" t="s">
        <v>1234</v>
      </c>
      <c r="C180" s="21" t="s">
        <v>1682</v>
      </c>
      <c r="D180" s="21" t="s">
        <v>101</v>
      </c>
      <c r="E180" s="21" t="s">
        <v>1718</v>
      </c>
      <c r="F180" s="22" t="s">
        <v>1718</v>
      </c>
      <c r="G180" s="22" t="s">
        <v>1718</v>
      </c>
      <c r="H180" s="25" t="e">
        <f t="shared" si="274"/>
        <v>#VALUE!</v>
      </c>
      <c r="I180" s="25" t="e">
        <f t="shared" si="255"/>
        <v>#VALUE!</v>
      </c>
      <c r="J180" s="21" t="e">
        <f t="shared" si="256"/>
        <v>#VALUE!</v>
      </c>
      <c r="K180" s="21" t="e">
        <f t="shared" si="275"/>
        <v>#VALUE!</v>
      </c>
      <c r="L180" s="21" t="e">
        <f t="shared" si="276"/>
        <v>#VALUE!</v>
      </c>
      <c r="M180" s="21" t="e">
        <f t="shared" si="277"/>
        <v>#VALUE!</v>
      </c>
      <c r="N180" s="21" t="e">
        <f t="shared" si="278"/>
        <v>#VALUE!</v>
      </c>
      <c r="O180" s="25" t="str">
        <f>IF('C7 Validation Rubrics'!M18="","",'C7 Validation Rubrics'!M18)</f>
        <v/>
      </c>
      <c r="P180" s="25" t="str">
        <f>IF('C7 Validation Rubrics'!N18="","",'C7 Validation Rubrics'!N18)</f>
        <v/>
      </c>
      <c r="Q180" s="25" t="str">
        <f t="shared" si="259"/>
        <v/>
      </c>
      <c r="R180" s="21" t="str">
        <f>IF('C7 Validation Rubrics'!O18="","",'C7 Validation Rubrics'!O18)</f>
        <v/>
      </c>
    </row>
    <row r="181" spans="1:18" ht="15.75" customHeight="1">
      <c r="A181" s="16" t="s">
        <v>1415</v>
      </c>
      <c r="B181" s="16" t="s">
        <v>1246</v>
      </c>
      <c r="C181" s="16"/>
      <c r="D181" s="16"/>
      <c r="E181" s="16" t="s">
        <v>1718</v>
      </c>
      <c r="F181" s="16" t="s">
        <v>1718</v>
      </c>
      <c r="G181" s="16" t="s">
        <v>1718</v>
      </c>
      <c r="H181" s="17" t="str">
        <f>IF(COUNT(H182)=0,"",SUM(H182))</f>
        <v/>
      </c>
      <c r="I181" s="17" t="str">
        <f t="shared" si="255"/>
        <v/>
      </c>
      <c r="J181" s="16" t="str">
        <f t="shared" si="256"/>
        <v/>
      </c>
      <c r="K181" s="16" t="e">
        <f t="shared" ref="K181:N181" si="279">SUM(K182)</f>
        <v>#VALUE!</v>
      </c>
      <c r="L181" s="16" t="e">
        <f t="shared" si="279"/>
        <v>#VALUE!</v>
      </c>
      <c r="M181" s="16" t="e">
        <f t="shared" si="279"/>
        <v>#VALUE!</v>
      </c>
      <c r="N181" s="16" t="e">
        <f t="shared" si="279"/>
        <v>#VALUE!</v>
      </c>
      <c r="O181" s="17" t="str">
        <f t="shared" ref="O181:P181" si="280">IF(COUNT(O182)=0,"",SUM(O182))</f>
        <v/>
      </c>
      <c r="P181" s="17" t="str">
        <f t="shared" si="280"/>
        <v/>
      </c>
      <c r="Q181" s="17" t="str">
        <f t="shared" si="259"/>
        <v/>
      </c>
      <c r="R181" s="16"/>
    </row>
    <row r="182" spans="1:18" ht="15.75" customHeight="1">
      <c r="A182" s="21" t="s">
        <v>1257</v>
      </c>
      <c r="B182" s="21" t="s">
        <v>1258</v>
      </c>
      <c r="C182" s="21" t="s">
        <v>1683</v>
      </c>
      <c r="D182" s="21" t="s">
        <v>101</v>
      </c>
      <c r="E182" s="21" t="s">
        <v>1718</v>
      </c>
      <c r="F182" s="22" t="s">
        <v>1718</v>
      </c>
      <c r="G182" s="22" t="s">
        <v>1718</v>
      </c>
      <c r="H182" s="25" t="e">
        <f>IF(OR(G182="",F182="",F182=0),"",ROUND(E182*MIN(G182/F182,1),2))</f>
        <v>#VALUE!</v>
      </c>
      <c r="I182" s="25" t="e">
        <f t="shared" si="255"/>
        <v>#VALUE!</v>
      </c>
      <c r="J182" s="21" t="e">
        <f t="shared" si="256"/>
        <v>#VALUE!</v>
      </c>
      <c r="K182" s="21" t="e">
        <f>IF($J182="Y",1,"")</f>
        <v>#VALUE!</v>
      </c>
      <c r="L182" s="21" t="e">
        <f>IF($J182="C",1,"")</f>
        <v>#VALUE!</v>
      </c>
      <c r="M182" s="21" t="e">
        <f>IF($J182="W",1,"")</f>
        <v>#VALUE!</v>
      </c>
      <c r="N182" s="21" t="e">
        <f>IF($J182="D",1,"")</f>
        <v>#VALUE!</v>
      </c>
      <c r="O182" s="25" t="str">
        <f>IF('C7 Validation Rubrics'!M20="","",'C7 Validation Rubrics'!M20)</f>
        <v/>
      </c>
      <c r="P182" s="25" t="str">
        <f>IF('C7 Validation Rubrics'!N20="","",'C7 Validation Rubrics'!N20)</f>
        <v/>
      </c>
      <c r="Q182" s="25" t="str">
        <f t="shared" si="259"/>
        <v/>
      </c>
      <c r="R182" s="21" t="str">
        <f>IF('C7 Validation Rubrics'!O20="","",'C7 Validation Rubrics'!O20)</f>
        <v/>
      </c>
    </row>
    <row r="183" spans="1:18" ht="15.75" customHeight="1">
      <c r="A183" s="16" t="s">
        <v>1431</v>
      </c>
      <c r="B183" s="16" t="s">
        <v>1269</v>
      </c>
      <c r="C183" s="16"/>
      <c r="D183" s="16"/>
      <c r="E183" s="16" t="s">
        <v>1718</v>
      </c>
      <c r="F183" s="16" t="s">
        <v>1718</v>
      </c>
      <c r="G183" s="16" t="s">
        <v>1718</v>
      </c>
      <c r="H183" s="17" t="str">
        <f>IF(COUNT(H184:H186)=0,"",SUM(H184:H186))</f>
        <v/>
      </c>
      <c r="I183" s="17" t="str">
        <f t="shared" si="255"/>
        <v/>
      </c>
      <c r="J183" s="16" t="str">
        <f t="shared" si="256"/>
        <v/>
      </c>
      <c r="K183" s="16" t="e">
        <f t="shared" ref="K183:N183" si="281">SUM(K184:K186)</f>
        <v>#VALUE!</v>
      </c>
      <c r="L183" s="16" t="e">
        <f t="shared" si="281"/>
        <v>#VALUE!</v>
      </c>
      <c r="M183" s="16" t="e">
        <f t="shared" si="281"/>
        <v>#VALUE!</v>
      </c>
      <c r="N183" s="16" t="e">
        <f t="shared" si="281"/>
        <v>#VALUE!</v>
      </c>
      <c r="O183" s="17" t="str">
        <f t="shared" ref="O183:P183" si="282">IF(COUNT(O184:O186)=0,"",SUM(O184:O186))</f>
        <v/>
      </c>
      <c r="P183" s="17" t="str">
        <f t="shared" si="282"/>
        <v/>
      </c>
      <c r="Q183" s="17" t="str">
        <f t="shared" si="259"/>
        <v/>
      </c>
      <c r="R183" s="16"/>
    </row>
    <row r="184" spans="1:18" ht="15.75" customHeight="1">
      <c r="A184" s="21" t="s">
        <v>1280</v>
      </c>
      <c r="B184" s="21" t="s">
        <v>1281</v>
      </c>
      <c r="C184" s="21" t="s">
        <v>1684</v>
      </c>
      <c r="D184" s="21" t="s">
        <v>263</v>
      </c>
      <c r="E184" s="21" t="s">
        <v>1718</v>
      </c>
      <c r="F184" s="22" t="s">
        <v>1718</v>
      </c>
      <c r="G184" s="22" t="s">
        <v>1718</v>
      </c>
      <c r="H184" s="25" t="e">
        <f t="shared" ref="H184:H186" si="283">IF(OR(G184="",F184="",F184=0),"",ROUND(E184*MIN(G184/F184,1),2))</f>
        <v>#VALUE!</v>
      </c>
      <c r="I184" s="25" t="e">
        <f t="shared" si="255"/>
        <v>#VALUE!</v>
      </c>
      <c r="J184" s="21" t="e">
        <f t="shared" si="256"/>
        <v>#VALUE!</v>
      </c>
      <c r="K184" s="21" t="e">
        <f t="shared" ref="K184:K186" si="284">IF($J184="Y",1,"")</f>
        <v>#VALUE!</v>
      </c>
      <c r="L184" s="21" t="e">
        <f t="shared" ref="L184:L186" si="285">IF($J184="C",1,"")</f>
        <v>#VALUE!</v>
      </c>
      <c r="M184" s="21" t="e">
        <f t="shared" ref="M184:M186" si="286">IF($J184="W",1,"")</f>
        <v>#VALUE!</v>
      </c>
      <c r="N184" s="21" t="e">
        <f t="shared" ref="N184:N186" si="287">IF($J184="D",1,"")</f>
        <v>#VALUE!</v>
      </c>
      <c r="O184" s="25" t="str">
        <f>IF('C7 Validation Rubrics'!M22="","",'C7 Validation Rubrics'!M22)</f>
        <v/>
      </c>
      <c r="P184" s="25" t="str">
        <f>IF('C7 Validation Rubrics'!N22="","",'C7 Validation Rubrics'!N22)</f>
        <v/>
      </c>
      <c r="Q184" s="25" t="str">
        <f t="shared" si="259"/>
        <v/>
      </c>
      <c r="R184" s="21" t="str">
        <f>IF('C7 Validation Rubrics'!O22="","",'C7 Validation Rubrics'!O22)</f>
        <v/>
      </c>
    </row>
    <row r="185" spans="1:18" ht="15.75" customHeight="1">
      <c r="A185" s="21" t="s">
        <v>1293</v>
      </c>
      <c r="B185" s="21" t="s">
        <v>1294</v>
      </c>
      <c r="C185" s="21" t="s">
        <v>1680</v>
      </c>
      <c r="D185" s="21" t="s">
        <v>101</v>
      </c>
      <c r="E185" s="21" t="s">
        <v>1718</v>
      </c>
      <c r="F185" s="22" t="s">
        <v>1718</v>
      </c>
      <c r="G185" s="22" t="s">
        <v>1718</v>
      </c>
      <c r="H185" s="25" t="e">
        <f t="shared" si="283"/>
        <v>#VALUE!</v>
      </c>
      <c r="I185" s="25" t="e">
        <f t="shared" si="255"/>
        <v>#VALUE!</v>
      </c>
      <c r="J185" s="21" t="e">
        <f t="shared" si="256"/>
        <v>#VALUE!</v>
      </c>
      <c r="K185" s="21" t="e">
        <f t="shared" si="284"/>
        <v>#VALUE!</v>
      </c>
      <c r="L185" s="21" t="e">
        <f t="shared" si="285"/>
        <v>#VALUE!</v>
      </c>
      <c r="M185" s="21" t="e">
        <f t="shared" si="286"/>
        <v>#VALUE!</v>
      </c>
      <c r="N185" s="21" t="e">
        <f t="shared" si="287"/>
        <v>#VALUE!</v>
      </c>
      <c r="O185" s="25" t="str">
        <f>IF('C7 Validation Rubrics'!M23="","",'C7 Validation Rubrics'!M23)</f>
        <v/>
      </c>
      <c r="P185" s="25" t="str">
        <f>IF('C7 Validation Rubrics'!N23="","",'C7 Validation Rubrics'!N23)</f>
        <v/>
      </c>
      <c r="Q185" s="25" t="str">
        <f t="shared" si="259"/>
        <v/>
      </c>
      <c r="R185" s="21" t="str">
        <f>IF('C7 Validation Rubrics'!O23="","",'C7 Validation Rubrics'!O23)</f>
        <v/>
      </c>
    </row>
    <row r="186" spans="1:18" ht="15.75" customHeight="1">
      <c r="A186" s="21" t="s">
        <v>1296</v>
      </c>
      <c r="B186" s="21" t="s">
        <v>1301</v>
      </c>
      <c r="C186" s="21" t="s">
        <v>1685</v>
      </c>
      <c r="D186" s="21" t="s">
        <v>263</v>
      </c>
      <c r="E186" s="21" t="s">
        <v>1718</v>
      </c>
      <c r="F186" s="22" t="s">
        <v>1718</v>
      </c>
      <c r="G186" s="22" t="s">
        <v>1718</v>
      </c>
      <c r="H186" s="25" t="e">
        <f t="shared" si="283"/>
        <v>#VALUE!</v>
      </c>
      <c r="I186" s="25" t="e">
        <f t="shared" si="255"/>
        <v>#VALUE!</v>
      </c>
      <c r="J186" s="21" t="e">
        <f t="shared" si="256"/>
        <v>#VALUE!</v>
      </c>
      <c r="K186" s="21" t="e">
        <f t="shared" si="284"/>
        <v>#VALUE!</v>
      </c>
      <c r="L186" s="21" t="e">
        <f t="shared" si="285"/>
        <v>#VALUE!</v>
      </c>
      <c r="M186" s="21" t="e">
        <f t="shared" si="286"/>
        <v>#VALUE!</v>
      </c>
      <c r="N186" s="21" t="e">
        <f t="shared" si="287"/>
        <v>#VALUE!</v>
      </c>
      <c r="O186" s="25" t="str">
        <f>IF('C7 Validation Rubrics'!M24="","",'C7 Validation Rubrics'!M24)</f>
        <v/>
      </c>
      <c r="P186" s="25" t="str">
        <f>IF('C7 Validation Rubrics'!N24="","",'C7 Validation Rubrics'!N24)</f>
        <v/>
      </c>
      <c r="Q186" s="25" t="str">
        <f t="shared" si="259"/>
        <v/>
      </c>
      <c r="R186" s="21" t="str">
        <f>IF('C7 Validation Rubrics'!O24="","",'C7 Validation Rubrics'!O24)</f>
        <v/>
      </c>
    </row>
    <row r="187" spans="1:18" ht="15.75" customHeight="1">
      <c r="A187" s="23" t="s">
        <v>70</v>
      </c>
      <c r="B187" s="23" t="s">
        <v>1307</v>
      </c>
      <c r="C187" s="23"/>
      <c r="D187" s="23"/>
      <c r="E187" s="23" t="s">
        <v>1718</v>
      </c>
      <c r="F187" s="23" t="s">
        <v>1718</v>
      </c>
      <c r="G187" s="23" t="s">
        <v>1718</v>
      </c>
      <c r="H187" s="35" t="str">
        <f>IF(COUNT(H170,H175,H178,H181,H183)=0,"",N(H170)+N(H175)+N(H178)+N(H181)+N(H183))</f>
        <v/>
      </c>
      <c r="I187" s="35" t="str">
        <f t="shared" si="255"/>
        <v/>
      </c>
      <c r="J187" s="23" t="str">
        <f t="shared" si="256"/>
        <v/>
      </c>
      <c r="K187" s="23" t="e">
        <f t="shared" ref="K187:N187" si="288">N(K170)+N(K175)+N(K178)+N(K181)+N(K183)</f>
        <v>#VALUE!</v>
      </c>
      <c r="L187" s="23" t="e">
        <f t="shared" si="288"/>
        <v>#VALUE!</v>
      </c>
      <c r="M187" s="23" t="e">
        <f t="shared" si="288"/>
        <v>#VALUE!</v>
      </c>
      <c r="N187" s="23" t="e">
        <f t="shared" si="288"/>
        <v>#VALUE!</v>
      </c>
      <c r="O187" s="35" t="str">
        <f t="shared" ref="O187:P187" si="289">IF(COUNT(O170,O175,O178,O181,O183)=0,"",N(O170)+N(O175)+N(O178)+N(O181)+N(O183))</f>
        <v/>
      </c>
      <c r="P187" s="35" t="str">
        <f t="shared" si="289"/>
        <v/>
      </c>
      <c r="Q187" s="35" t="str">
        <f t="shared" si="259"/>
        <v/>
      </c>
      <c r="R187" s="23"/>
    </row>
    <row r="188" spans="1:18" ht="15.75" customHeight="1">
      <c r="A188" s="13" t="s">
        <v>71</v>
      </c>
      <c r="B188" s="44" t="s">
        <v>1686</v>
      </c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6"/>
    </row>
    <row r="189" spans="1:18" ht="15.75" customHeight="1">
      <c r="A189" s="16" t="s">
        <v>1451</v>
      </c>
      <c r="B189" s="16" t="s">
        <v>1194</v>
      </c>
      <c r="C189" s="16"/>
      <c r="D189" s="16"/>
      <c r="E189" s="16" t="s">
        <v>1718</v>
      </c>
      <c r="F189" s="16" t="s">
        <v>1718</v>
      </c>
      <c r="G189" s="16" t="s">
        <v>1718</v>
      </c>
      <c r="H189" s="17" t="str">
        <f>IF(COUNT(H190:H193)=0,"",SUM(H190:H193))</f>
        <v/>
      </c>
      <c r="I189" s="17" t="str">
        <f t="shared" ref="I189:I203" si="290">IF(H189="","",ROUND(H189/E189*100,2))</f>
        <v/>
      </c>
      <c r="J189" s="16" t="str">
        <f t="shared" ref="J189:J203" si="291">IF(I189="","",IF(I189&gt;YT*100,"Y",IF(I189&gt;=CT*100,"C",IF(I189&gt;=WT*100,"W","D"))))</f>
        <v/>
      </c>
      <c r="K189" s="16" t="e">
        <f t="shared" ref="K189:N189" si="292">SUM(K190:K193)</f>
        <v>#VALUE!</v>
      </c>
      <c r="L189" s="16" t="e">
        <f t="shared" si="292"/>
        <v>#VALUE!</v>
      </c>
      <c r="M189" s="16" t="e">
        <f t="shared" si="292"/>
        <v>#VALUE!</v>
      </c>
      <c r="N189" s="16" t="e">
        <f t="shared" si="292"/>
        <v>#VALUE!</v>
      </c>
      <c r="O189" s="17" t="str">
        <f t="shared" ref="O189:P189" si="293">IF(COUNT(O190:O193)=0,"",SUM(O190:O193))</f>
        <v/>
      </c>
      <c r="P189" s="17" t="str">
        <f t="shared" si="293"/>
        <v/>
      </c>
      <c r="Q189" s="17" t="str">
        <f t="shared" ref="Q189:Q203" si="294">IF(N(O189)=0,"",ROUND(N(P189)/O189*100,2))</f>
        <v/>
      </c>
      <c r="R189" s="16"/>
    </row>
    <row r="190" spans="1:18" ht="15.75" customHeight="1">
      <c r="A190" s="21" t="s">
        <v>1206</v>
      </c>
      <c r="B190" s="21" t="s">
        <v>1207</v>
      </c>
      <c r="C190" s="21" t="s">
        <v>1687</v>
      </c>
      <c r="D190" s="21" t="s">
        <v>101</v>
      </c>
      <c r="E190" s="21" t="s">
        <v>1718</v>
      </c>
      <c r="F190" s="22" t="s">
        <v>1718</v>
      </c>
      <c r="G190" s="22" t="s">
        <v>1718</v>
      </c>
      <c r="H190" s="25" t="e">
        <f t="shared" ref="H190:H193" si="295">IF(OR(G190="",F190="",F190=0),"",ROUND(E190*MIN(G190/F190,1),2))</f>
        <v>#VALUE!</v>
      </c>
      <c r="I190" s="25" t="e">
        <f t="shared" si="290"/>
        <v>#VALUE!</v>
      </c>
      <c r="J190" s="21" t="e">
        <f t="shared" si="291"/>
        <v>#VALUE!</v>
      </c>
      <c r="K190" s="21" t="e">
        <f t="shared" ref="K190:K193" si="296">IF($J190="Y",1,"")</f>
        <v>#VALUE!</v>
      </c>
      <c r="L190" s="21" t="e">
        <f t="shared" ref="L190:L193" si="297">IF($J190="C",1,"")</f>
        <v>#VALUE!</v>
      </c>
      <c r="M190" s="21" t="e">
        <f t="shared" ref="M190:M193" si="298">IF($J190="W",1,"")</f>
        <v>#VALUE!</v>
      </c>
      <c r="N190" s="21" t="e">
        <f t="shared" ref="N190:N193" si="299">IF($J190="D",1,"")</f>
        <v>#VALUE!</v>
      </c>
      <c r="O190" s="25" t="str">
        <f>IF('C8 Validation Rubrics'!M9="","",'C8 Validation Rubrics'!M9)</f>
        <v/>
      </c>
      <c r="P190" s="25" t="str">
        <f>IF('C8 Validation Rubrics'!N9="","",'C8 Validation Rubrics'!N9)</f>
        <v/>
      </c>
      <c r="Q190" s="25" t="str">
        <f t="shared" si="294"/>
        <v/>
      </c>
      <c r="R190" s="21" t="str">
        <f>IF('C8 Validation Rubrics'!O9="","",'C8 Validation Rubrics'!O9)</f>
        <v/>
      </c>
    </row>
    <row r="191" spans="1:18" ht="15.75" customHeight="1">
      <c r="A191" s="21" t="s">
        <v>1225</v>
      </c>
      <c r="B191" s="21" t="s">
        <v>1226</v>
      </c>
      <c r="C191" s="21" t="s">
        <v>1688</v>
      </c>
      <c r="D191" s="21" t="s">
        <v>101</v>
      </c>
      <c r="E191" s="21" t="s">
        <v>1718</v>
      </c>
      <c r="F191" s="22" t="s">
        <v>1718</v>
      </c>
      <c r="G191" s="22" t="s">
        <v>1718</v>
      </c>
      <c r="H191" s="25" t="e">
        <f t="shared" si="295"/>
        <v>#VALUE!</v>
      </c>
      <c r="I191" s="25" t="e">
        <f t="shared" si="290"/>
        <v>#VALUE!</v>
      </c>
      <c r="J191" s="21" t="e">
        <f t="shared" si="291"/>
        <v>#VALUE!</v>
      </c>
      <c r="K191" s="21" t="e">
        <f t="shared" si="296"/>
        <v>#VALUE!</v>
      </c>
      <c r="L191" s="21" t="e">
        <f t="shared" si="297"/>
        <v>#VALUE!</v>
      </c>
      <c r="M191" s="21" t="e">
        <f t="shared" si="298"/>
        <v>#VALUE!</v>
      </c>
      <c r="N191" s="21" t="e">
        <f t="shared" si="299"/>
        <v>#VALUE!</v>
      </c>
      <c r="O191" s="25" t="str">
        <f>IF('C8 Validation Rubrics'!M10="","",'C8 Validation Rubrics'!M10)</f>
        <v/>
      </c>
      <c r="P191" s="25" t="str">
        <f>IF('C8 Validation Rubrics'!N10="","",'C8 Validation Rubrics'!N10)</f>
        <v/>
      </c>
      <c r="Q191" s="25" t="str">
        <f t="shared" si="294"/>
        <v/>
      </c>
      <c r="R191" s="21" t="str">
        <f>IF('C8 Validation Rubrics'!O10="","",'C8 Validation Rubrics'!O10)</f>
        <v/>
      </c>
    </row>
    <row r="192" spans="1:18" ht="15.75" customHeight="1">
      <c r="A192" s="21" t="s">
        <v>1240</v>
      </c>
      <c r="B192" s="21" t="s">
        <v>1241</v>
      </c>
      <c r="C192" s="21" t="s">
        <v>1689</v>
      </c>
      <c r="D192" s="21" t="s">
        <v>101</v>
      </c>
      <c r="E192" s="21" t="s">
        <v>1718</v>
      </c>
      <c r="F192" s="22" t="s">
        <v>1718</v>
      </c>
      <c r="G192" s="22" t="s">
        <v>1718</v>
      </c>
      <c r="H192" s="25" t="e">
        <f t="shared" si="295"/>
        <v>#VALUE!</v>
      </c>
      <c r="I192" s="25" t="e">
        <f t="shared" si="290"/>
        <v>#VALUE!</v>
      </c>
      <c r="J192" s="21" t="e">
        <f t="shared" si="291"/>
        <v>#VALUE!</v>
      </c>
      <c r="K192" s="21" t="e">
        <f t="shared" si="296"/>
        <v>#VALUE!</v>
      </c>
      <c r="L192" s="21" t="e">
        <f t="shared" si="297"/>
        <v>#VALUE!</v>
      </c>
      <c r="M192" s="21" t="e">
        <f t="shared" si="298"/>
        <v>#VALUE!</v>
      </c>
      <c r="N192" s="21" t="e">
        <f t="shared" si="299"/>
        <v>#VALUE!</v>
      </c>
      <c r="O192" s="25" t="str">
        <f>IF('C8 Validation Rubrics'!M11="","",'C8 Validation Rubrics'!M11)</f>
        <v/>
      </c>
      <c r="P192" s="25" t="str">
        <f>IF('C8 Validation Rubrics'!N11="","",'C8 Validation Rubrics'!N11)</f>
        <v/>
      </c>
      <c r="Q192" s="25" t="str">
        <f t="shared" si="294"/>
        <v/>
      </c>
      <c r="R192" s="21" t="str">
        <f>IF('C8 Validation Rubrics'!O11="","",'C8 Validation Rubrics'!O11)</f>
        <v/>
      </c>
    </row>
    <row r="193" spans="1:18" ht="15.75" customHeight="1">
      <c r="A193" s="21" t="s">
        <v>1248</v>
      </c>
      <c r="B193" s="21" t="s">
        <v>1249</v>
      </c>
      <c r="C193" s="21" t="s">
        <v>1690</v>
      </c>
      <c r="D193" s="21" t="s">
        <v>101</v>
      </c>
      <c r="E193" s="21" t="s">
        <v>1718</v>
      </c>
      <c r="F193" s="22" t="s">
        <v>1718</v>
      </c>
      <c r="G193" s="22" t="s">
        <v>1718</v>
      </c>
      <c r="H193" s="25" t="e">
        <f t="shared" si="295"/>
        <v>#VALUE!</v>
      </c>
      <c r="I193" s="25" t="e">
        <f t="shared" si="290"/>
        <v>#VALUE!</v>
      </c>
      <c r="J193" s="21" t="e">
        <f t="shared" si="291"/>
        <v>#VALUE!</v>
      </c>
      <c r="K193" s="21" t="e">
        <f t="shared" si="296"/>
        <v>#VALUE!</v>
      </c>
      <c r="L193" s="21" t="e">
        <f t="shared" si="297"/>
        <v>#VALUE!</v>
      </c>
      <c r="M193" s="21" t="e">
        <f t="shared" si="298"/>
        <v>#VALUE!</v>
      </c>
      <c r="N193" s="21" t="e">
        <f t="shared" si="299"/>
        <v>#VALUE!</v>
      </c>
      <c r="O193" s="25" t="str">
        <f>IF('C8 Validation Rubrics'!M12="","",'C8 Validation Rubrics'!M12)</f>
        <v/>
      </c>
      <c r="P193" s="25" t="str">
        <f>IF('C8 Validation Rubrics'!N12="","",'C8 Validation Rubrics'!N12)</f>
        <v/>
      </c>
      <c r="Q193" s="25" t="str">
        <f t="shared" si="294"/>
        <v/>
      </c>
      <c r="R193" s="21" t="str">
        <f>IF('C8 Validation Rubrics'!O12="","",'C8 Validation Rubrics'!O12)</f>
        <v/>
      </c>
    </row>
    <row r="194" spans="1:18" ht="15.75" customHeight="1">
      <c r="A194" s="16" t="s">
        <v>1473</v>
      </c>
      <c r="B194" s="16" t="s">
        <v>1256</v>
      </c>
      <c r="C194" s="16"/>
      <c r="D194" s="16"/>
      <c r="E194" s="16" t="s">
        <v>1718</v>
      </c>
      <c r="F194" s="16" t="s">
        <v>1718</v>
      </c>
      <c r="G194" s="16" t="s">
        <v>1718</v>
      </c>
      <c r="H194" s="17" t="str">
        <f>IF(COUNT(H195:H196)=0,"",SUM(H195:H196))</f>
        <v/>
      </c>
      <c r="I194" s="17" t="str">
        <f t="shared" si="290"/>
        <v/>
      </c>
      <c r="J194" s="16" t="str">
        <f t="shared" si="291"/>
        <v/>
      </c>
      <c r="K194" s="16" t="e">
        <f t="shared" ref="K194:N194" si="300">SUM(K195:K196)</f>
        <v>#VALUE!</v>
      </c>
      <c r="L194" s="16" t="e">
        <f t="shared" si="300"/>
        <v>#VALUE!</v>
      </c>
      <c r="M194" s="16" t="e">
        <f t="shared" si="300"/>
        <v>#VALUE!</v>
      </c>
      <c r="N194" s="16" t="e">
        <f t="shared" si="300"/>
        <v>#VALUE!</v>
      </c>
      <c r="O194" s="17" t="str">
        <f t="shared" ref="O194:P194" si="301">IF(COUNT(O195:O196)=0,"",SUM(O195:O196))</f>
        <v/>
      </c>
      <c r="P194" s="17" t="str">
        <f t="shared" si="301"/>
        <v/>
      </c>
      <c r="Q194" s="17" t="str">
        <f t="shared" si="294"/>
        <v/>
      </c>
      <c r="R194" s="16"/>
    </row>
    <row r="195" spans="1:18" ht="15.75" customHeight="1">
      <c r="A195" s="21" t="s">
        <v>1263</v>
      </c>
      <c r="B195" s="21" t="s">
        <v>1264</v>
      </c>
      <c r="C195" s="21" t="s">
        <v>1691</v>
      </c>
      <c r="D195" s="21" t="s">
        <v>101</v>
      </c>
      <c r="E195" s="21" t="s">
        <v>1718</v>
      </c>
      <c r="F195" s="22" t="s">
        <v>1718</v>
      </c>
      <c r="G195" s="22" t="s">
        <v>1718</v>
      </c>
      <c r="H195" s="25" t="e">
        <f t="shared" ref="H195:H196" si="302">IF(OR(G195="",F195="",F195=0),"",ROUND(E195*MIN(G195/F195,1),2))</f>
        <v>#VALUE!</v>
      </c>
      <c r="I195" s="25" t="e">
        <f t="shared" si="290"/>
        <v>#VALUE!</v>
      </c>
      <c r="J195" s="21" t="e">
        <f t="shared" si="291"/>
        <v>#VALUE!</v>
      </c>
      <c r="K195" s="21" t="e">
        <f t="shared" ref="K195:K196" si="303">IF($J195="Y",1,"")</f>
        <v>#VALUE!</v>
      </c>
      <c r="L195" s="21" t="e">
        <f t="shared" ref="L195:L196" si="304">IF($J195="C",1,"")</f>
        <v>#VALUE!</v>
      </c>
      <c r="M195" s="21" t="e">
        <f t="shared" ref="M195:M196" si="305">IF($J195="W",1,"")</f>
        <v>#VALUE!</v>
      </c>
      <c r="N195" s="21" t="e">
        <f t="shared" ref="N195:N196" si="306">IF($J195="D",1,"")</f>
        <v>#VALUE!</v>
      </c>
      <c r="O195" s="25" t="str">
        <f>IF('C8 Validation Rubrics'!M14="","",'C8 Validation Rubrics'!M14)</f>
        <v/>
      </c>
      <c r="P195" s="25" t="str">
        <f>IF('C8 Validation Rubrics'!N14="","",'C8 Validation Rubrics'!N14)</f>
        <v/>
      </c>
      <c r="Q195" s="25" t="str">
        <f t="shared" si="294"/>
        <v/>
      </c>
      <c r="R195" s="21" t="str">
        <f>IF('C8 Validation Rubrics'!O14="","",'C8 Validation Rubrics'!O14)</f>
        <v/>
      </c>
    </row>
    <row r="196" spans="1:18" ht="15.75" customHeight="1">
      <c r="A196" s="21" t="s">
        <v>1270</v>
      </c>
      <c r="B196" s="21" t="s">
        <v>1271</v>
      </c>
      <c r="C196" s="21" t="s">
        <v>1692</v>
      </c>
      <c r="D196" s="21" t="s">
        <v>101</v>
      </c>
      <c r="E196" s="21" t="s">
        <v>1718</v>
      </c>
      <c r="F196" s="22" t="s">
        <v>1718</v>
      </c>
      <c r="G196" s="22" t="s">
        <v>1718</v>
      </c>
      <c r="H196" s="25" t="e">
        <f t="shared" si="302"/>
        <v>#VALUE!</v>
      </c>
      <c r="I196" s="25" t="e">
        <f t="shared" si="290"/>
        <v>#VALUE!</v>
      </c>
      <c r="J196" s="21" t="e">
        <f t="shared" si="291"/>
        <v>#VALUE!</v>
      </c>
      <c r="K196" s="21" t="e">
        <f t="shared" si="303"/>
        <v>#VALUE!</v>
      </c>
      <c r="L196" s="21" t="e">
        <f t="shared" si="304"/>
        <v>#VALUE!</v>
      </c>
      <c r="M196" s="21" t="e">
        <f t="shared" si="305"/>
        <v>#VALUE!</v>
      </c>
      <c r="N196" s="21" t="e">
        <f t="shared" si="306"/>
        <v>#VALUE!</v>
      </c>
      <c r="O196" s="25" t="str">
        <f>IF('C8 Validation Rubrics'!M15="","",'C8 Validation Rubrics'!M15)</f>
        <v/>
      </c>
      <c r="P196" s="25" t="str">
        <f>IF('C8 Validation Rubrics'!N15="","",'C8 Validation Rubrics'!N15)</f>
        <v/>
      </c>
      <c r="Q196" s="25" t="str">
        <f t="shared" si="294"/>
        <v/>
      </c>
      <c r="R196" s="21" t="str">
        <f>IF('C8 Validation Rubrics'!O15="","",'C8 Validation Rubrics'!O15)</f>
        <v/>
      </c>
    </row>
    <row r="197" spans="1:18" ht="15.75" customHeight="1">
      <c r="A197" s="16" t="s">
        <v>1476</v>
      </c>
      <c r="B197" s="16" t="s">
        <v>1284</v>
      </c>
      <c r="C197" s="16"/>
      <c r="D197" s="16"/>
      <c r="E197" s="16" t="s">
        <v>1718</v>
      </c>
      <c r="F197" s="16" t="s">
        <v>1718</v>
      </c>
      <c r="G197" s="16" t="s">
        <v>1718</v>
      </c>
      <c r="H197" s="17" t="str">
        <f>IF(COUNT(H198:H199)=0,"",SUM(H198:H199))</f>
        <v/>
      </c>
      <c r="I197" s="17" t="str">
        <f t="shared" si="290"/>
        <v/>
      </c>
      <c r="J197" s="16" t="str">
        <f t="shared" si="291"/>
        <v/>
      </c>
      <c r="K197" s="16" t="e">
        <f t="shared" ref="K197:N197" si="307">SUM(K198:K199)</f>
        <v>#VALUE!</v>
      </c>
      <c r="L197" s="16" t="e">
        <f t="shared" si="307"/>
        <v>#VALUE!</v>
      </c>
      <c r="M197" s="16" t="e">
        <f t="shared" si="307"/>
        <v>#VALUE!</v>
      </c>
      <c r="N197" s="16" t="e">
        <f t="shared" si="307"/>
        <v>#VALUE!</v>
      </c>
      <c r="O197" s="17" t="str">
        <f t="shared" ref="O197:P197" si="308">IF(COUNT(O198:O199)=0,"",SUM(O198:O199))</f>
        <v/>
      </c>
      <c r="P197" s="17" t="str">
        <f t="shared" si="308"/>
        <v/>
      </c>
      <c r="Q197" s="17" t="str">
        <f t="shared" si="294"/>
        <v/>
      </c>
      <c r="R197" s="16"/>
    </row>
    <row r="198" spans="1:18" ht="15.75" customHeight="1">
      <c r="A198" s="21" t="s">
        <v>1286</v>
      </c>
      <c r="B198" s="21" t="s">
        <v>887</v>
      </c>
      <c r="C198" s="21" t="s">
        <v>1693</v>
      </c>
      <c r="D198" s="21" t="s">
        <v>263</v>
      </c>
      <c r="E198" s="21" t="s">
        <v>1718</v>
      </c>
      <c r="F198" s="22" t="s">
        <v>1718</v>
      </c>
      <c r="G198" s="22" t="s">
        <v>1718</v>
      </c>
      <c r="H198" s="25" t="e">
        <f t="shared" ref="H198:H199" si="309">IF(OR(G198="",F198="",F198=0),"",ROUND(E198*MIN(G198/F198,1),2))</f>
        <v>#VALUE!</v>
      </c>
      <c r="I198" s="25" t="e">
        <f t="shared" si="290"/>
        <v>#VALUE!</v>
      </c>
      <c r="J198" s="21" t="e">
        <f t="shared" si="291"/>
        <v>#VALUE!</v>
      </c>
      <c r="K198" s="21" t="e">
        <f t="shared" ref="K198:K199" si="310">IF($J198="Y",1,"")</f>
        <v>#VALUE!</v>
      </c>
      <c r="L198" s="21" t="e">
        <f t="shared" ref="L198:L199" si="311">IF($J198="C",1,"")</f>
        <v>#VALUE!</v>
      </c>
      <c r="M198" s="21" t="e">
        <f t="shared" ref="M198:M199" si="312">IF($J198="W",1,"")</f>
        <v>#VALUE!</v>
      </c>
      <c r="N198" s="21" t="e">
        <f t="shared" ref="N198:N199" si="313">IF($J198="D",1,"")</f>
        <v>#VALUE!</v>
      </c>
      <c r="O198" s="25" t="str">
        <f>IF('C8 Validation Rubrics'!M17="","",'C8 Validation Rubrics'!M17)</f>
        <v/>
      </c>
      <c r="P198" s="25" t="str">
        <f>IF('C8 Validation Rubrics'!N17="","",'C8 Validation Rubrics'!N17)</f>
        <v/>
      </c>
      <c r="Q198" s="25" t="str">
        <f t="shared" si="294"/>
        <v/>
      </c>
      <c r="R198" s="21" t="str">
        <f>IF('C8 Validation Rubrics'!O17="","",'C8 Validation Rubrics'!O17)</f>
        <v/>
      </c>
    </row>
    <row r="199" spans="1:18" ht="15.75" customHeight="1">
      <c r="A199" s="21" t="s">
        <v>1297</v>
      </c>
      <c r="B199" s="21" t="s">
        <v>1298</v>
      </c>
      <c r="C199" s="21" t="s">
        <v>1694</v>
      </c>
      <c r="D199" s="21" t="s">
        <v>263</v>
      </c>
      <c r="E199" s="21" t="s">
        <v>1718</v>
      </c>
      <c r="F199" s="22" t="s">
        <v>1718</v>
      </c>
      <c r="G199" s="22" t="s">
        <v>1718</v>
      </c>
      <c r="H199" s="25" t="e">
        <f t="shared" si="309"/>
        <v>#VALUE!</v>
      </c>
      <c r="I199" s="25" t="e">
        <f t="shared" si="290"/>
        <v>#VALUE!</v>
      </c>
      <c r="J199" s="21" t="e">
        <f t="shared" si="291"/>
        <v>#VALUE!</v>
      </c>
      <c r="K199" s="21" t="e">
        <f t="shared" si="310"/>
        <v>#VALUE!</v>
      </c>
      <c r="L199" s="21" t="e">
        <f t="shared" si="311"/>
        <v>#VALUE!</v>
      </c>
      <c r="M199" s="21" t="e">
        <f t="shared" si="312"/>
        <v>#VALUE!</v>
      </c>
      <c r="N199" s="21" t="e">
        <f t="shared" si="313"/>
        <v>#VALUE!</v>
      </c>
      <c r="O199" s="25" t="str">
        <f>IF('C8 Validation Rubrics'!M18="","",'C8 Validation Rubrics'!M18)</f>
        <v/>
      </c>
      <c r="P199" s="25" t="str">
        <f>IF('C8 Validation Rubrics'!N18="","",'C8 Validation Rubrics'!N18)</f>
        <v/>
      </c>
      <c r="Q199" s="25" t="str">
        <f t="shared" si="294"/>
        <v/>
      </c>
      <c r="R199" s="21" t="str">
        <f>IF('C8 Validation Rubrics'!O18="","",'C8 Validation Rubrics'!O18)</f>
        <v/>
      </c>
    </row>
    <row r="200" spans="1:18" ht="15.75" customHeight="1">
      <c r="A200" s="16" t="s">
        <v>1486</v>
      </c>
      <c r="B200" s="16" t="s">
        <v>1306</v>
      </c>
      <c r="C200" s="16"/>
      <c r="D200" s="16"/>
      <c r="E200" s="16" t="s">
        <v>1718</v>
      </c>
      <c r="F200" s="16" t="s">
        <v>1718</v>
      </c>
      <c r="G200" s="16" t="s">
        <v>1718</v>
      </c>
      <c r="H200" s="17" t="str">
        <f>IF(COUNT(H201:H202)=0,"",SUM(H201:H202))</f>
        <v/>
      </c>
      <c r="I200" s="17" t="str">
        <f t="shared" si="290"/>
        <v/>
      </c>
      <c r="J200" s="16" t="str">
        <f t="shared" si="291"/>
        <v/>
      </c>
      <c r="K200" s="16" t="e">
        <f t="shared" ref="K200:N200" si="314">SUM(K201:K202)</f>
        <v>#VALUE!</v>
      </c>
      <c r="L200" s="16" t="e">
        <f t="shared" si="314"/>
        <v>#VALUE!</v>
      </c>
      <c r="M200" s="16" t="e">
        <f t="shared" si="314"/>
        <v>#VALUE!</v>
      </c>
      <c r="N200" s="16" t="e">
        <f t="shared" si="314"/>
        <v>#VALUE!</v>
      </c>
      <c r="O200" s="17" t="str">
        <f t="shared" ref="O200:P200" si="315">IF(COUNT(O201:O202)=0,"",SUM(O201:O202))</f>
        <v/>
      </c>
      <c r="P200" s="17" t="str">
        <f t="shared" si="315"/>
        <v/>
      </c>
      <c r="Q200" s="17" t="str">
        <f t="shared" si="294"/>
        <v/>
      </c>
      <c r="R200" s="16"/>
    </row>
    <row r="201" spans="1:18" ht="15.75" customHeight="1">
      <c r="A201" s="21" t="s">
        <v>1308</v>
      </c>
      <c r="B201" s="21" t="s">
        <v>1309</v>
      </c>
      <c r="C201" s="21" t="s">
        <v>1695</v>
      </c>
      <c r="D201" s="21" t="s">
        <v>263</v>
      </c>
      <c r="E201" s="21" t="s">
        <v>1718</v>
      </c>
      <c r="F201" s="22" t="s">
        <v>1718</v>
      </c>
      <c r="G201" s="22" t="s">
        <v>1718</v>
      </c>
      <c r="H201" s="25" t="e">
        <f t="shared" ref="H201:H202" si="316">IF(OR(G201="",F201="",F201=0),"",ROUND(E201*MIN(G201/F201,1),2))</f>
        <v>#VALUE!</v>
      </c>
      <c r="I201" s="25" t="e">
        <f t="shared" si="290"/>
        <v>#VALUE!</v>
      </c>
      <c r="J201" s="21" t="e">
        <f t="shared" si="291"/>
        <v>#VALUE!</v>
      </c>
      <c r="K201" s="21" t="e">
        <f t="shared" ref="K201:K202" si="317">IF($J201="Y",1,"")</f>
        <v>#VALUE!</v>
      </c>
      <c r="L201" s="21" t="e">
        <f t="shared" ref="L201:L202" si="318">IF($J201="C",1,"")</f>
        <v>#VALUE!</v>
      </c>
      <c r="M201" s="21" t="e">
        <f t="shared" ref="M201:M202" si="319">IF($J201="W",1,"")</f>
        <v>#VALUE!</v>
      </c>
      <c r="N201" s="21" t="e">
        <f t="shared" ref="N201:N202" si="320">IF($J201="D",1,"")</f>
        <v>#VALUE!</v>
      </c>
      <c r="O201" s="25" t="str">
        <f>IF('C8 Validation Rubrics'!M20="","",'C8 Validation Rubrics'!M20)</f>
        <v/>
      </c>
      <c r="P201" s="25" t="str">
        <f>IF('C8 Validation Rubrics'!N20="","",'C8 Validation Rubrics'!N20)</f>
        <v/>
      </c>
      <c r="Q201" s="25" t="str">
        <f t="shared" si="294"/>
        <v/>
      </c>
      <c r="R201" s="21" t="str">
        <f>IF('C8 Validation Rubrics'!O20="","",'C8 Validation Rubrics'!O20)</f>
        <v/>
      </c>
    </row>
    <row r="202" spans="1:18" ht="15.75" customHeight="1">
      <c r="A202" s="21" t="s">
        <v>1314</v>
      </c>
      <c r="B202" s="21" t="s">
        <v>1315</v>
      </c>
      <c r="C202" s="21" t="s">
        <v>1696</v>
      </c>
      <c r="D202" s="21" t="s">
        <v>263</v>
      </c>
      <c r="E202" s="21" t="s">
        <v>1718</v>
      </c>
      <c r="F202" s="22" t="s">
        <v>1718</v>
      </c>
      <c r="G202" s="22" t="s">
        <v>1718</v>
      </c>
      <c r="H202" s="25" t="e">
        <f t="shared" si="316"/>
        <v>#VALUE!</v>
      </c>
      <c r="I202" s="25" t="e">
        <f t="shared" si="290"/>
        <v>#VALUE!</v>
      </c>
      <c r="J202" s="21" t="e">
        <f t="shared" si="291"/>
        <v>#VALUE!</v>
      </c>
      <c r="K202" s="21" t="e">
        <f t="shared" si="317"/>
        <v>#VALUE!</v>
      </c>
      <c r="L202" s="21" t="e">
        <f t="shared" si="318"/>
        <v>#VALUE!</v>
      </c>
      <c r="M202" s="21" t="e">
        <f t="shared" si="319"/>
        <v>#VALUE!</v>
      </c>
      <c r="N202" s="21" t="e">
        <f t="shared" si="320"/>
        <v>#VALUE!</v>
      </c>
      <c r="O202" s="25" t="str">
        <f>IF('C8 Validation Rubrics'!M21="","",'C8 Validation Rubrics'!M21)</f>
        <v/>
      </c>
      <c r="P202" s="25" t="str">
        <f>IF('C8 Validation Rubrics'!N21="","",'C8 Validation Rubrics'!N21)</f>
        <v/>
      </c>
      <c r="Q202" s="25" t="str">
        <f t="shared" si="294"/>
        <v/>
      </c>
      <c r="R202" s="21" t="str">
        <f>IF('C8 Validation Rubrics'!O21="","",'C8 Validation Rubrics'!O21)</f>
        <v/>
      </c>
    </row>
    <row r="203" spans="1:18" ht="15.75" customHeight="1">
      <c r="A203" s="23" t="s">
        <v>71</v>
      </c>
      <c r="B203" s="23" t="s">
        <v>1319</v>
      </c>
      <c r="C203" s="23"/>
      <c r="D203" s="23"/>
      <c r="E203" s="23" t="s">
        <v>1718</v>
      </c>
      <c r="F203" s="23" t="s">
        <v>1718</v>
      </c>
      <c r="G203" s="23" t="s">
        <v>1718</v>
      </c>
      <c r="H203" s="35" t="str">
        <f>IF(COUNT(H189,H194,H197,H200)=0,"",N(H189)+N(H194)+N(H197)+N(H200))</f>
        <v/>
      </c>
      <c r="I203" s="35" t="str">
        <f t="shared" si="290"/>
        <v/>
      </c>
      <c r="J203" s="23" t="str">
        <f t="shared" si="291"/>
        <v/>
      </c>
      <c r="K203" s="23" t="e">
        <f t="shared" ref="K203:N203" si="321">N(K189)+N(K194)+N(K197)+N(K200)</f>
        <v>#VALUE!</v>
      </c>
      <c r="L203" s="23" t="e">
        <f t="shared" si="321"/>
        <v>#VALUE!</v>
      </c>
      <c r="M203" s="23" t="e">
        <f t="shared" si="321"/>
        <v>#VALUE!</v>
      </c>
      <c r="N203" s="23" t="e">
        <f t="shared" si="321"/>
        <v>#VALUE!</v>
      </c>
      <c r="O203" s="35" t="str">
        <f t="shared" ref="O203:P203" si="322">IF(COUNT(O189,O194,O197,O200)=0,"",N(O189)+N(O194)+N(O197)+N(O200))</f>
        <v/>
      </c>
      <c r="P203" s="35" t="str">
        <f t="shared" si="322"/>
        <v/>
      </c>
      <c r="Q203" s="35" t="str">
        <f t="shared" si="294"/>
        <v/>
      </c>
      <c r="R203" s="23"/>
    </row>
    <row r="204" spans="1:18" ht="15.75" customHeight="1">
      <c r="A204" s="13" t="s">
        <v>72</v>
      </c>
      <c r="B204" s="44" t="s">
        <v>1697</v>
      </c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6"/>
    </row>
    <row r="205" spans="1:18" ht="15.75" customHeight="1">
      <c r="A205" s="16" t="s">
        <v>1497</v>
      </c>
      <c r="B205" s="16" t="s">
        <v>1323</v>
      </c>
      <c r="C205" s="16"/>
      <c r="D205" s="16"/>
      <c r="E205" s="16" t="s">
        <v>1718</v>
      </c>
      <c r="F205" s="16" t="s">
        <v>1718</v>
      </c>
      <c r="G205" s="16" t="s">
        <v>1718</v>
      </c>
      <c r="H205" s="17" t="str">
        <f>IF(COUNT(H206)=0,"",SUM(H206))</f>
        <v/>
      </c>
      <c r="I205" s="17" t="str">
        <f t="shared" ref="I205:I239" si="323">IF(H205="","",ROUND(H205/E205*100,2))</f>
        <v/>
      </c>
      <c r="J205" s="16" t="str">
        <f t="shared" ref="J205:J240" si="324">IF(I205="","",IF(I205&gt;YT*100,"Y",IF(I205&gt;=CT*100,"C",IF(I205&gt;=WT*100,"W","D"))))</f>
        <v/>
      </c>
      <c r="K205" s="16" t="e">
        <f t="shared" ref="K205:N205" si="325">SUM(K206)</f>
        <v>#VALUE!</v>
      </c>
      <c r="L205" s="16" t="e">
        <f t="shared" si="325"/>
        <v>#VALUE!</v>
      </c>
      <c r="M205" s="16" t="e">
        <f t="shared" si="325"/>
        <v>#VALUE!</v>
      </c>
      <c r="N205" s="16" t="e">
        <f t="shared" si="325"/>
        <v>#VALUE!</v>
      </c>
      <c r="O205" s="17" t="str">
        <f t="shared" ref="O205:P205" si="326">IF(COUNT(O206)=0,"",SUM(O206))</f>
        <v/>
      </c>
      <c r="P205" s="17" t="str">
        <f t="shared" si="326"/>
        <v/>
      </c>
      <c r="Q205" s="17" t="str">
        <f t="shared" ref="Q205:Q240" si="327">IF(N(O205)=0,"",ROUND(N(P205)/O205*100,2))</f>
        <v/>
      </c>
      <c r="R205" s="16"/>
    </row>
    <row r="206" spans="1:18" ht="15.75" customHeight="1">
      <c r="A206" s="21" t="s">
        <v>1326</v>
      </c>
      <c r="B206" s="21" t="s">
        <v>1327</v>
      </c>
      <c r="C206" s="21" t="s">
        <v>1698</v>
      </c>
      <c r="D206" s="21" t="s">
        <v>101</v>
      </c>
      <c r="E206" s="21" t="s">
        <v>1718</v>
      </c>
      <c r="F206" s="22" t="s">
        <v>1718</v>
      </c>
      <c r="G206" s="22" t="s">
        <v>1718</v>
      </c>
      <c r="H206" s="25" t="e">
        <f>IF(OR(G206="",F206="",F206=0),"",ROUND(E206*MIN(G206/F206,1),2))</f>
        <v>#VALUE!</v>
      </c>
      <c r="I206" s="25" t="e">
        <f t="shared" si="323"/>
        <v>#VALUE!</v>
      </c>
      <c r="J206" s="21" t="e">
        <f t="shared" si="324"/>
        <v>#VALUE!</v>
      </c>
      <c r="K206" s="21" t="e">
        <f>IF($J206="Y",1,"")</f>
        <v>#VALUE!</v>
      </c>
      <c r="L206" s="21" t="e">
        <f>IF($J206="C",1,"")</f>
        <v>#VALUE!</v>
      </c>
      <c r="M206" s="21" t="e">
        <f>IF($J206="W",1,"")</f>
        <v>#VALUE!</v>
      </c>
      <c r="N206" s="21" t="e">
        <f>IF($J206="D",1,"")</f>
        <v>#VALUE!</v>
      </c>
      <c r="O206" s="25" t="str">
        <f>IF('C9 Validation Rubrics'!M9="","",'C9 Validation Rubrics'!M9)</f>
        <v/>
      </c>
      <c r="P206" s="25" t="str">
        <f>IF('C9 Validation Rubrics'!N9="","",'C9 Validation Rubrics'!N9)</f>
        <v/>
      </c>
      <c r="Q206" s="25" t="str">
        <f t="shared" si="327"/>
        <v/>
      </c>
      <c r="R206" s="21" t="str">
        <f>IF('C9 Validation Rubrics'!O9="","",'C9 Validation Rubrics'!O9)</f>
        <v/>
      </c>
    </row>
    <row r="207" spans="1:18" ht="15.75" customHeight="1">
      <c r="A207" s="16" t="s">
        <v>1490</v>
      </c>
      <c r="B207" s="16" t="s">
        <v>1342</v>
      </c>
      <c r="C207" s="16"/>
      <c r="D207" s="16"/>
      <c r="E207" s="16" t="s">
        <v>1718</v>
      </c>
      <c r="F207" s="16" t="s">
        <v>1718</v>
      </c>
      <c r="G207" s="16" t="s">
        <v>1718</v>
      </c>
      <c r="H207" s="17" t="str">
        <f>IF(COUNT(H208:H209)=0,"",SUM(H208:H209))</f>
        <v/>
      </c>
      <c r="I207" s="17" t="str">
        <f t="shared" si="323"/>
        <v/>
      </c>
      <c r="J207" s="16" t="str">
        <f t="shared" si="324"/>
        <v/>
      </c>
      <c r="K207" s="16" t="e">
        <f t="shared" ref="K207:N207" si="328">SUM(K208:K209)</f>
        <v>#VALUE!</v>
      </c>
      <c r="L207" s="16" t="e">
        <f t="shared" si="328"/>
        <v>#VALUE!</v>
      </c>
      <c r="M207" s="16" t="e">
        <f t="shared" si="328"/>
        <v>#VALUE!</v>
      </c>
      <c r="N207" s="16" t="e">
        <f t="shared" si="328"/>
        <v>#VALUE!</v>
      </c>
      <c r="O207" s="17" t="str">
        <f t="shared" ref="O207:P207" si="329">IF(COUNT(O208:O209)=0,"",SUM(O208:O209))</f>
        <v/>
      </c>
      <c r="P207" s="17" t="str">
        <f t="shared" si="329"/>
        <v/>
      </c>
      <c r="Q207" s="17" t="str">
        <f t="shared" si="327"/>
        <v/>
      </c>
      <c r="R207" s="16"/>
    </row>
    <row r="208" spans="1:18" ht="15.75" customHeight="1">
      <c r="A208" s="21" t="s">
        <v>1344</v>
      </c>
      <c r="B208" s="21" t="s">
        <v>1345</v>
      </c>
      <c r="C208" s="21" t="s">
        <v>1699</v>
      </c>
      <c r="D208" s="21" t="s">
        <v>101</v>
      </c>
      <c r="E208" s="21" t="s">
        <v>1718</v>
      </c>
      <c r="F208" s="22" t="s">
        <v>1718</v>
      </c>
      <c r="G208" s="22" t="s">
        <v>1718</v>
      </c>
      <c r="H208" s="25" t="e">
        <f t="shared" ref="H208:H209" si="330">IF(OR(G208="",F208="",F208=0),"",ROUND(E208*MIN(G208/F208,1),2))</f>
        <v>#VALUE!</v>
      </c>
      <c r="I208" s="25" t="e">
        <f t="shared" si="323"/>
        <v>#VALUE!</v>
      </c>
      <c r="J208" s="21" t="e">
        <f t="shared" si="324"/>
        <v>#VALUE!</v>
      </c>
      <c r="K208" s="21" t="e">
        <f t="shared" ref="K208:K209" si="331">IF($J208="Y",1,"")</f>
        <v>#VALUE!</v>
      </c>
      <c r="L208" s="21" t="e">
        <f t="shared" ref="L208:L209" si="332">IF($J208="C",1,"")</f>
        <v>#VALUE!</v>
      </c>
      <c r="M208" s="21" t="e">
        <f t="shared" ref="M208:M209" si="333">IF($J208="W",1,"")</f>
        <v>#VALUE!</v>
      </c>
      <c r="N208" s="21" t="e">
        <f t="shared" ref="N208:N209" si="334">IF($J208="D",1,"")</f>
        <v>#VALUE!</v>
      </c>
      <c r="O208" s="25" t="str">
        <f>IF('C9 Validation Rubrics'!M11="","",'C9 Validation Rubrics'!M11)</f>
        <v/>
      </c>
      <c r="P208" s="25" t="str">
        <f>IF('C9 Validation Rubrics'!N11="","",'C9 Validation Rubrics'!N11)</f>
        <v/>
      </c>
      <c r="Q208" s="25" t="str">
        <f t="shared" si="327"/>
        <v/>
      </c>
      <c r="R208" s="21" t="str">
        <f>IF('C9 Validation Rubrics'!O11="","",'C9 Validation Rubrics'!O11)</f>
        <v/>
      </c>
    </row>
    <row r="209" spans="1:18" ht="15.75" customHeight="1">
      <c r="A209" s="21" t="s">
        <v>1350</v>
      </c>
      <c r="B209" s="21" t="s">
        <v>1351</v>
      </c>
      <c r="C209" s="21" t="s">
        <v>1700</v>
      </c>
      <c r="D209" s="21" t="s">
        <v>101</v>
      </c>
      <c r="E209" s="21" t="s">
        <v>1718</v>
      </c>
      <c r="F209" s="22" t="s">
        <v>1718</v>
      </c>
      <c r="G209" s="22" t="s">
        <v>1718</v>
      </c>
      <c r="H209" s="25" t="e">
        <f t="shared" si="330"/>
        <v>#VALUE!</v>
      </c>
      <c r="I209" s="25" t="e">
        <f t="shared" si="323"/>
        <v>#VALUE!</v>
      </c>
      <c r="J209" s="21" t="e">
        <f t="shared" si="324"/>
        <v>#VALUE!</v>
      </c>
      <c r="K209" s="21" t="e">
        <f t="shared" si="331"/>
        <v>#VALUE!</v>
      </c>
      <c r="L209" s="21" t="e">
        <f t="shared" si="332"/>
        <v>#VALUE!</v>
      </c>
      <c r="M209" s="21" t="e">
        <f t="shared" si="333"/>
        <v>#VALUE!</v>
      </c>
      <c r="N209" s="21" t="e">
        <f t="shared" si="334"/>
        <v>#VALUE!</v>
      </c>
      <c r="O209" s="25" t="str">
        <f>IF('C9 Validation Rubrics'!M12="","",'C9 Validation Rubrics'!M12)</f>
        <v/>
      </c>
      <c r="P209" s="25" t="str">
        <f>IF('C9 Validation Rubrics'!N12="","",'C9 Validation Rubrics'!N12)</f>
        <v/>
      </c>
      <c r="Q209" s="25" t="str">
        <f t="shared" si="327"/>
        <v/>
      </c>
      <c r="R209" s="21" t="str">
        <f>IF('C9 Validation Rubrics'!O12="","",'C9 Validation Rubrics'!O12)</f>
        <v/>
      </c>
    </row>
    <row r="210" spans="1:18" ht="15.75" customHeight="1">
      <c r="A210" s="16" t="s">
        <v>1522</v>
      </c>
      <c r="B210" s="16" t="s">
        <v>1358</v>
      </c>
      <c r="C210" s="16"/>
      <c r="D210" s="16"/>
      <c r="E210" s="16" t="s">
        <v>1718</v>
      </c>
      <c r="F210" s="16" t="s">
        <v>1718</v>
      </c>
      <c r="G210" s="16" t="s">
        <v>1718</v>
      </c>
      <c r="H210" s="17" t="str">
        <f>IF(COUNT(H211:H213)=0,"",SUM(H211:H213))</f>
        <v/>
      </c>
      <c r="I210" s="17" t="str">
        <f t="shared" si="323"/>
        <v/>
      </c>
      <c r="J210" s="16" t="str">
        <f t="shared" si="324"/>
        <v/>
      </c>
      <c r="K210" s="16" t="e">
        <f t="shared" ref="K210:N210" si="335">SUM(K211:K213)</f>
        <v>#VALUE!</v>
      </c>
      <c r="L210" s="16" t="e">
        <f t="shared" si="335"/>
        <v>#VALUE!</v>
      </c>
      <c r="M210" s="16" t="e">
        <f t="shared" si="335"/>
        <v>#VALUE!</v>
      </c>
      <c r="N210" s="16" t="e">
        <f t="shared" si="335"/>
        <v>#VALUE!</v>
      </c>
      <c r="O210" s="17" t="str">
        <f t="shared" ref="O210:P210" si="336">IF(COUNT(O211:O213)=0,"",SUM(O211:O213))</f>
        <v/>
      </c>
      <c r="P210" s="17" t="str">
        <f t="shared" si="336"/>
        <v/>
      </c>
      <c r="Q210" s="17" t="str">
        <f t="shared" si="327"/>
        <v/>
      </c>
      <c r="R210" s="16"/>
    </row>
    <row r="211" spans="1:18" ht="15.75" customHeight="1">
      <c r="A211" s="21" t="s">
        <v>1361</v>
      </c>
      <c r="B211" s="21" t="s">
        <v>1362</v>
      </c>
      <c r="C211" s="21" t="s">
        <v>1701</v>
      </c>
      <c r="D211" s="21" t="s">
        <v>101</v>
      </c>
      <c r="E211" s="21" t="s">
        <v>1718</v>
      </c>
      <c r="F211" s="22" t="s">
        <v>1718</v>
      </c>
      <c r="G211" s="22" t="s">
        <v>1718</v>
      </c>
      <c r="H211" s="25" t="e">
        <f t="shared" ref="H211:H213" si="337">IF(OR(G211="",F211="",F211=0),"",ROUND(E211*MIN(G211/F211,1),2))</f>
        <v>#VALUE!</v>
      </c>
      <c r="I211" s="25" t="e">
        <f t="shared" si="323"/>
        <v>#VALUE!</v>
      </c>
      <c r="J211" s="21" t="e">
        <f t="shared" si="324"/>
        <v>#VALUE!</v>
      </c>
      <c r="K211" s="21" t="e">
        <f t="shared" ref="K211:K213" si="338">IF($J211="Y",1,"")</f>
        <v>#VALUE!</v>
      </c>
      <c r="L211" s="21" t="e">
        <f t="shared" ref="L211:L213" si="339">IF($J211="C",1,"")</f>
        <v>#VALUE!</v>
      </c>
      <c r="M211" s="21" t="e">
        <f t="shared" ref="M211:M213" si="340">IF($J211="W",1,"")</f>
        <v>#VALUE!</v>
      </c>
      <c r="N211" s="21" t="e">
        <f t="shared" ref="N211:N213" si="341">IF($J211="D",1,"")</f>
        <v>#VALUE!</v>
      </c>
      <c r="O211" s="25" t="str">
        <f>IF('C9 Validation Rubrics'!M14="","",'C9 Validation Rubrics'!M14)</f>
        <v/>
      </c>
      <c r="P211" s="25" t="str">
        <f>IF('C9 Validation Rubrics'!N14="","",'C9 Validation Rubrics'!N14)</f>
        <v/>
      </c>
      <c r="Q211" s="25" t="str">
        <f t="shared" si="327"/>
        <v/>
      </c>
      <c r="R211" s="21" t="str">
        <f>IF('C9 Validation Rubrics'!O14="","",'C9 Validation Rubrics'!O14)</f>
        <v/>
      </c>
    </row>
    <row r="212" spans="1:18" ht="15.75" customHeight="1">
      <c r="A212" s="21" t="s">
        <v>1367</v>
      </c>
      <c r="B212" s="21" t="s">
        <v>1368</v>
      </c>
      <c r="C212" s="21" t="s">
        <v>1702</v>
      </c>
      <c r="D212" s="21" t="s">
        <v>101</v>
      </c>
      <c r="E212" s="21" t="s">
        <v>1718</v>
      </c>
      <c r="F212" s="22" t="s">
        <v>1718</v>
      </c>
      <c r="G212" s="22" t="s">
        <v>1718</v>
      </c>
      <c r="H212" s="25" t="e">
        <f t="shared" si="337"/>
        <v>#VALUE!</v>
      </c>
      <c r="I212" s="25" t="e">
        <f t="shared" si="323"/>
        <v>#VALUE!</v>
      </c>
      <c r="J212" s="21" t="e">
        <f t="shared" si="324"/>
        <v>#VALUE!</v>
      </c>
      <c r="K212" s="21" t="e">
        <f t="shared" si="338"/>
        <v>#VALUE!</v>
      </c>
      <c r="L212" s="21" t="e">
        <f t="shared" si="339"/>
        <v>#VALUE!</v>
      </c>
      <c r="M212" s="21" t="e">
        <f t="shared" si="340"/>
        <v>#VALUE!</v>
      </c>
      <c r="N212" s="21" t="e">
        <f t="shared" si="341"/>
        <v>#VALUE!</v>
      </c>
      <c r="O212" s="25" t="str">
        <f>IF('C9 Validation Rubrics'!M15="","",'C9 Validation Rubrics'!M15)</f>
        <v/>
      </c>
      <c r="P212" s="25" t="str">
        <f>IF('C9 Validation Rubrics'!N15="","",'C9 Validation Rubrics'!N15)</f>
        <v/>
      </c>
      <c r="Q212" s="25" t="str">
        <f t="shared" si="327"/>
        <v/>
      </c>
      <c r="R212" s="21" t="str">
        <f>IF('C9 Validation Rubrics'!O15="","",'C9 Validation Rubrics'!O15)</f>
        <v/>
      </c>
    </row>
    <row r="213" spans="1:18" ht="15.75" customHeight="1">
      <c r="A213" s="21" t="s">
        <v>1375</v>
      </c>
      <c r="B213" s="21" t="s">
        <v>1376</v>
      </c>
      <c r="C213" s="21" t="s">
        <v>1703</v>
      </c>
      <c r="D213" s="21" t="s">
        <v>101</v>
      </c>
      <c r="E213" s="21" t="s">
        <v>1718</v>
      </c>
      <c r="F213" s="22" t="s">
        <v>1718</v>
      </c>
      <c r="G213" s="22" t="s">
        <v>1718</v>
      </c>
      <c r="H213" s="25" t="e">
        <f t="shared" si="337"/>
        <v>#VALUE!</v>
      </c>
      <c r="I213" s="25" t="e">
        <f t="shared" si="323"/>
        <v>#VALUE!</v>
      </c>
      <c r="J213" s="21" t="e">
        <f t="shared" si="324"/>
        <v>#VALUE!</v>
      </c>
      <c r="K213" s="21" t="e">
        <f t="shared" si="338"/>
        <v>#VALUE!</v>
      </c>
      <c r="L213" s="21" t="e">
        <f t="shared" si="339"/>
        <v>#VALUE!</v>
      </c>
      <c r="M213" s="21" t="e">
        <f t="shared" si="340"/>
        <v>#VALUE!</v>
      </c>
      <c r="N213" s="21" t="e">
        <f t="shared" si="341"/>
        <v>#VALUE!</v>
      </c>
      <c r="O213" s="25" t="str">
        <f>IF('C9 Validation Rubrics'!M16="","",'C9 Validation Rubrics'!M16)</f>
        <v/>
      </c>
      <c r="P213" s="25" t="str">
        <f>IF('C9 Validation Rubrics'!N16="","",'C9 Validation Rubrics'!N16)</f>
        <v/>
      </c>
      <c r="Q213" s="25" t="str">
        <f t="shared" si="327"/>
        <v/>
      </c>
      <c r="R213" s="21" t="str">
        <f>IF('C9 Validation Rubrics'!O16="","",'C9 Validation Rubrics'!O16)</f>
        <v/>
      </c>
    </row>
    <row r="214" spans="1:18" ht="15.75" customHeight="1">
      <c r="A214" s="16" t="s">
        <v>1528</v>
      </c>
      <c r="B214" s="16" t="s">
        <v>1382</v>
      </c>
      <c r="C214" s="16"/>
      <c r="D214" s="16"/>
      <c r="E214" s="16" t="s">
        <v>1718</v>
      </c>
      <c r="F214" s="16" t="s">
        <v>1718</v>
      </c>
      <c r="G214" s="16" t="s">
        <v>1718</v>
      </c>
      <c r="H214" s="17" t="str">
        <f>IF(COUNT(H215:H216)=0,"",SUM(H215:H216))</f>
        <v/>
      </c>
      <c r="I214" s="17" t="str">
        <f t="shared" si="323"/>
        <v/>
      </c>
      <c r="J214" s="16" t="str">
        <f t="shared" si="324"/>
        <v/>
      </c>
      <c r="K214" s="16" t="e">
        <f t="shared" ref="K214:N214" si="342">SUM(K215:K216)</f>
        <v>#VALUE!</v>
      </c>
      <c r="L214" s="16" t="e">
        <f t="shared" si="342"/>
        <v>#VALUE!</v>
      </c>
      <c r="M214" s="16" t="e">
        <f t="shared" si="342"/>
        <v>#VALUE!</v>
      </c>
      <c r="N214" s="16" t="e">
        <f t="shared" si="342"/>
        <v>#VALUE!</v>
      </c>
      <c r="O214" s="17" t="str">
        <f t="shared" ref="O214:P214" si="343">IF(COUNT(O215:O216)=0,"",SUM(O215:O216))</f>
        <v/>
      </c>
      <c r="P214" s="17" t="str">
        <f t="shared" si="343"/>
        <v/>
      </c>
      <c r="Q214" s="17" t="str">
        <f t="shared" si="327"/>
        <v/>
      </c>
      <c r="R214" s="16"/>
    </row>
    <row r="215" spans="1:18" ht="15.75" customHeight="1">
      <c r="A215" s="21" t="s">
        <v>1386</v>
      </c>
      <c r="B215" s="21" t="s">
        <v>1387</v>
      </c>
      <c r="C215" s="21" t="s">
        <v>1704</v>
      </c>
      <c r="D215" s="21" t="s">
        <v>101</v>
      </c>
      <c r="E215" s="21" t="s">
        <v>1718</v>
      </c>
      <c r="F215" s="22" t="s">
        <v>1718</v>
      </c>
      <c r="G215" s="22" t="s">
        <v>1718</v>
      </c>
      <c r="H215" s="25" t="e">
        <f t="shared" ref="H215:H216" si="344">IF(OR(G215="",F215="",F215=0),"",ROUND(E215*MIN(G215/F215,1),2))</f>
        <v>#VALUE!</v>
      </c>
      <c r="I215" s="25" t="e">
        <f t="shared" si="323"/>
        <v>#VALUE!</v>
      </c>
      <c r="J215" s="21" t="e">
        <f t="shared" si="324"/>
        <v>#VALUE!</v>
      </c>
      <c r="K215" s="21" t="e">
        <f t="shared" ref="K215:K216" si="345">IF($J215="Y",1,"")</f>
        <v>#VALUE!</v>
      </c>
      <c r="L215" s="21" t="e">
        <f t="shared" ref="L215:L216" si="346">IF($J215="C",1,"")</f>
        <v>#VALUE!</v>
      </c>
      <c r="M215" s="21" t="e">
        <f t="shared" ref="M215:M216" si="347">IF($J215="W",1,"")</f>
        <v>#VALUE!</v>
      </c>
      <c r="N215" s="21" t="e">
        <f t="shared" ref="N215:N216" si="348">IF($J215="D",1,"")</f>
        <v>#VALUE!</v>
      </c>
      <c r="O215" s="25" t="str">
        <f>IF('C9 Validation Rubrics'!M18="","",'C9 Validation Rubrics'!M18)</f>
        <v/>
      </c>
      <c r="P215" s="25" t="str">
        <f>IF('C9 Validation Rubrics'!N18="","",'C9 Validation Rubrics'!N18)</f>
        <v/>
      </c>
      <c r="Q215" s="25" t="str">
        <f t="shared" si="327"/>
        <v/>
      </c>
      <c r="R215" s="21" t="str">
        <f>IF('C9 Validation Rubrics'!O18="","",'C9 Validation Rubrics'!O18)</f>
        <v/>
      </c>
    </row>
    <row r="216" spans="1:18" ht="15.75" customHeight="1">
      <c r="A216" s="21" t="s">
        <v>1395</v>
      </c>
      <c r="B216" s="21" t="s">
        <v>1396</v>
      </c>
      <c r="C216" s="21" t="s">
        <v>1705</v>
      </c>
      <c r="D216" s="21" t="s">
        <v>263</v>
      </c>
      <c r="E216" s="21" t="s">
        <v>1718</v>
      </c>
      <c r="F216" s="22" t="s">
        <v>1718</v>
      </c>
      <c r="G216" s="22" t="s">
        <v>1718</v>
      </c>
      <c r="H216" s="25" t="e">
        <f t="shared" si="344"/>
        <v>#VALUE!</v>
      </c>
      <c r="I216" s="25" t="e">
        <f t="shared" si="323"/>
        <v>#VALUE!</v>
      </c>
      <c r="J216" s="21" t="e">
        <f t="shared" si="324"/>
        <v>#VALUE!</v>
      </c>
      <c r="K216" s="21" t="e">
        <f t="shared" si="345"/>
        <v>#VALUE!</v>
      </c>
      <c r="L216" s="21" t="e">
        <f t="shared" si="346"/>
        <v>#VALUE!</v>
      </c>
      <c r="M216" s="21" t="e">
        <f t="shared" si="347"/>
        <v>#VALUE!</v>
      </c>
      <c r="N216" s="21" t="e">
        <f t="shared" si="348"/>
        <v>#VALUE!</v>
      </c>
      <c r="O216" s="25" t="str">
        <f>IF('C9 Validation Rubrics'!M19="","",'C9 Validation Rubrics'!M19)</f>
        <v/>
      </c>
      <c r="P216" s="25" t="str">
        <f>IF('C9 Validation Rubrics'!N19="","",'C9 Validation Rubrics'!N19)</f>
        <v/>
      </c>
      <c r="Q216" s="25" t="str">
        <f t="shared" si="327"/>
        <v/>
      </c>
      <c r="R216" s="21" t="str">
        <f>IF('C9 Validation Rubrics'!O19="","",'C9 Validation Rubrics'!O19)</f>
        <v/>
      </c>
    </row>
    <row r="217" spans="1:18" ht="15.75" customHeight="1">
      <c r="A217" s="16" t="s">
        <v>1547</v>
      </c>
      <c r="B217" s="16" t="s">
        <v>1400</v>
      </c>
      <c r="C217" s="16"/>
      <c r="D217" s="16"/>
      <c r="E217" s="16" t="s">
        <v>1718</v>
      </c>
      <c r="F217" s="16" t="s">
        <v>1718</v>
      </c>
      <c r="G217" s="16" t="s">
        <v>1718</v>
      </c>
      <c r="H217" s="17" t="str">
        <f>IF(COUNT(H218)=0,"",SUM(H218))</f>
        <v/>
      </c>
      <c r="I217" s="17" t="str">
        <f t="shared" si="323"/>
        <v/>
      </c>
      <c r="J217" s="16" t="str">
        <f t="shared" si="324"/>
        <v/>
      </c>
      <c r="K217" s="16" t="e">
        <f t="shared" ref="K217:N217" si="349">SUM(K218)</f>
        <v>#VALUE!</v>
      </c>
      <c r="L217" s="16" t="e">
        <f t="shared" si="349"/>
        <v>#VALUE!</v>
      </c>
      <c r="M217" s="16" t="e">
        <f t="shared" si="349"/>
        <v>#VALUE!</v>
      </c>
      <c r="N217" s="16" t="e">
        <f t="shared" si="349"/>
        <v>#VALUE!</v>
      </c>
      <c r="O217" s="17" t="str">
        <f t="shared" ref="O217:P217" si="350">IF(COUNT(O218)=0,"",SUM(O218))</f>
        <v/>
      </c>
      <c r="P217" s="17" t="str">
        <f t="shared" si="350"/>
        <v/>
      </c>
      <c r="Q217" s="17" t="str">
        <f t="shared" si="327"/>
        <v/>
      </c>
      <c r="R217" s="16"/>
    </row>
    <row r="218" spans="1:18" ht="15.75" customHeight="1">
      <c r="A218" s="21" t="s">
        <v>1404</v>
      </c>
      <c r="B218" s="21" t="s">
        <v>1405</v>
      </c>
      <c r="C218" s="21" t="s">
        <v>1706</v>
      </c>
      <c r="D218" s="21" t="s">
        <v>263</v>
      </c>
      <c r="E218" s="21" t="s">
        <v>1718</v>
      </c>
      <c r="F218" s="22" t="s">
        <v>1718</v>
      </c>
      <c r="G218" s="22" t="s">
        <v>1718</v>
      </c>
      <c r="H218" s="25" t="e">
        <f>IF(OR(G218="",F218="",F218=0),"",ROUND(E218*MIN(G218/F218,1),2))</f>
        <v>#VALUE!</v>
      </c>
      <c r="I218" s="25" t="e">
        <f t="shared" si="323"/>
        <v>#VALUE!</v>
      </c>
      <c r="J218" s="21" t="e">
        <f t="shared" si="324"/>
        <v>#VALUE!</v>
      </c>
      <c r="K218" s="21" t="e">
        <f>IF($J218="Y",1,"")</f>
        <v>#VALUE!</v>
      </c>
      <c r="L218" s="21" t="e">
        <f>IF($J218="C",1,"")</f>
        <v>#VALUE!</v>
      </c>
      <c r="M218" s="21" t="e">
        <f>IF($J218="W",1,"")</f>
        <v>#VALUE!</v>
      </c>
      <c r="N218" s="21" t="e">
        <f>IF($J218="D",1,"")</f>
        <v>#VALUE!</v>
      </c>
      <c r="O218" s="25" t="str">
        <f>IF('C9 Validation Rubrics'!M21="","",'C9 Validation Rubrics'!M21)</f>
        <v/>
      </c>
      <c r="P218" s="25" t="str">
        <f>IF('C9 Validation Rubrics'!N21="","",'C9 Validation Rubrics'!N21)</f>
        <v/>
      </c>
      <c r="Q218" s="25" t="str">
        <f t="shared" si="327"/>
        <v/>
      </c>
      <c r="R218" s="21" t="str">
        <f>IF('C9 Validation Rubrics'!O21="","",'C9 Validation Rubrics'!O21)</f>
        <v/>
      </c>
    </row>
    <row r="219" spans="1:18" ht="15.75" customHeight="1">
      <c r="A219" s="16" t="s">
        <v>1569</v>
      </c>
      <c r="B219" s="16" t="s">
        <v>1411</v>
      </c>
      <c r="C219" s="16"/>
      <c r="D219" s="16"/>
      <c r="E219" s="16" t="s">
        <v>1718</v>
      </c>
      <c r="F219" s="16" t="s">
        <v>1718</v>
      </c>
      <c r="G219" s="16" t="s">
        <v>1718</v>
      </c>
      <c r="H219" s="17" t="str">
        <f>IF(COUNT(H220:H222)=0,"",SUM(H220:H222))</f>
        <v/>
      </c>
      <c r="I219" s="17" t="str">
        <f t="shared" si="323"/>
        <v/>
      </c>
      <c r="J219" s="16" t="str">
        <f t="shared" si="324"/>
        <v/>
      </c>
      <c r="K219" s="16" t="e">
        <f t="shared" ref="K219:N219" si="351">SUM(K220:K222)</f>
        <v>#VALUE!</v>
      </c>
      <c r="L219" s="16" t="e">
        <f t="shared" si="351"/>
        <v>#VALUE!</v>
      </c>
      <c r="M219" s="16" t="e">
        <f t="shared" si="351"/>
        <v>#VALUE!</v>
      </c>
      <c r="N219" s="16" t="e">
        <f t="shared" si="351"/>
        <v>#VALUE!</v>
      </c>
      <c r="O219" s="17" t="str">
        <f t="shared" ref="O219:P219" si="352">IF(COUNT(O220:O222)=0,"",SUM(O220:O222))</f>
        <v/>
      </c>
      <c r="P219" s="17" t="str">
        <f t="shared" si="352"/>
        <v/>
      </c>
      <c r="Q219" s="17" t="str">
        <f t="shared" si="327"/>
        <v/>
      </c>
      <c r="R219" s="16"/>
    </row>
    <row r="220" spans="1:18" ht="15.75" customHeight="1">
      <c r="A220" s="21" t="s">
        <v>1424</v>
      </c>
      <c r="B220" s="21" t="s">
        <v>1425</v>
      </c>
      <c r="C220" s="21" t="s">
        <v>1707</v>
      </c>
      <c r="D220" s="21" t="s">
        <v>101</v>
      </c>
      <c r="E220" s="21" t="s">
        <v>1718</v>
      </c>
      <c r="F220" s="22" t="s">
        <v>1718</v>
      </c>
      <c r="G220" s="22" t="s">
        <v>1718</v>
      </c>
      <c r="H220" s="25" t="e">
        <f t="shared" ref="H220:H222" si="353">IF(OR(G220="",F220="",F220=0),"",ROUND(E220*MIN(G220/F220,1),2))</f>
        <v>#VALUE!</v>
      </c>
      <c r="I220" s="25" t="e">
        <f t="shared" si="323"/>
        <v>#VALUE!</v>
      </c>
      <c r="J220" s="21" t="e">
        <f t="shared" si="324"/>
        <v>#VALUE!</v>
      </c>
      <c r="K220" s="21" t="e">
        <f t="shared" ref="K220:K222" si="354">IF($J220="Y",1,"")</f>
        <v>#VALUE!</v>
      </c>
      <c r="L220" s="21" t="e">
        <f t="shared" ref="L220:L222" si="355">IF($J220="C",1,"")</f>
        <v>#VALUE!</v>
      </c>
      <c r="M220" s="21" t="e">
        <f t="shared" ref="M220:M222" si="356">IF($J220="W",1,"")</f>
        <v>#VALUE!</v>
      </c>
      <c r="N220" s="21" t="e">
        <f t="shared" ref="N220:N222" si="357">IF($J220="D",1,"")</f>
        <v>#VALUE!</v>
      </c>
      <c r="O220" s="25" t="str">
        <f>IF('C9 Validation Rubrics'!M23="","",'C9 Validation Rubrics'!M23)</f>
        <v/>
      </c>
      <c r="P220" s="25" t="str">
        <f>IF('C9 Validation Rubrics'!N23="","",'C9 Validation Rubrics'!N23)</f>
        <v/>
      </c>
      <c r="Q220" s="25" t="str">
        <f t="shared" si="327"/>
        <v/>
      </c>
      <c r="R220" s="21" t="str">
        <f>IF('C9 Validation Rubrics'!O23="","",'C9 Validation Rubrics'!O23)</f>
        <v/>
      </c>
    </row>
    <row r="221" spans="1:18" ht="15.75" customHeight="1">
      <c r="A221" s="21" t="s">
        <v>1432</v>
      </c>
      <c r="B221" s="21" t="s">
        <v>1433</v>
      </c>
      <c r="C221" s="21" t="s">
        <v>1708</v>
      </c>
      <c r="D221" s="21" t="s">
        <v>101</v>
      </c>
      <c r="E221" s="21" t="s">
        <v>1718</v>
      </c>
      <c r="F221" s="22" t="s">
        <v>1718</v>
      </c>
      <c r="G221" s="22" t="s">
        <v>1718</v>
      </c>
      <c r="H221" s="25" t="e">
        <f t="shared" si="353"/>
        <v>#VALUE!</v>
      </c>
      <c r="I221" s="25" t="e">
        <f t="shared" si="323"/>
        <v>#VALUE!</v>
      </c>
      <c r="J221" s="21" t="e">
        <f t="shared" si="324"/>
        <v>#VALUE!</v>
      </c>
      <c r="K221" s="21" t="e">
        <f t="shared" si="354"/>
        <v>#VALUE!</v>
      </c>
      <c r="L221" s="21" t="e">
        <f t="shared" si="355"/>
        <v>#VALUE!</v>
      </c>
      <c r="M221" s="21" t="e">
        <f t="shared" si="356"/>
        <v>#VALUE!</v>
      </c>
      <c r="N221" s="21" t="e">
        <f t="shared" si="357"/>
        <v>#VALUE!</v>
      </c>
      <c r="O221" s="25" t="str">
        <f>IF('C9 Validation Rubrics'!M24="","",'C9 Validation Rubrics'!M24)</f>
        <v/>
      </c>
      <c r="P221" s="25" t="str">
        <f>IF('C9 Validation Rubrics'!N24="","",'C9 Validation Rubrics'!N24)</f>
        <v/>
      </c>
      <c r="Q221" s="25" t="str">
        <f t="shared" si="327"/>
        <v/>
      </c>
      <c r="R221" s="21" t="str">
        <f>IF('C9 Validation Rubrics'!O24="","",'C9 Validation Rubrics'!O24)</f>
        <v/>
      </c>
    </row>
    <row r="222" spans="1:18" ht="15.75" customHeight="1">
      <c r="A222" s="21" t="s">
        <v>1440</v>
      </c>
      <c r="B222" s="21" t="s">
        <v>1441</v>
      </c>
      <c r="C222" s="21" t="s">
        <v>1709</v>
      </c>
      <c r="D222" s="21" t="s">
        <v>101</v>
      </c>
      <c r="E222" s="21" t="s">
        <v>1718</v>
      </c>
      <c r="F222" s="22" t="s">
        <v>1718</v>
      </c>
      <c r="G222" s="22" t="s">
        <v>1718</v>
      </c>
      <c r="H222" s="25" t="e">
        <f t="shared" si="353"/>
        <v>#VALUE!</v>
      </c>
      <c r="I222" s="25" t="e">
        <f t="shared" si="323"/>
        <v>#VALUE!</v>
      </c>
      <c r="J222" s="21" t="e">
        <f t="shared" si="324"/>
        <v>#VALUE!</v>
      </c>
      <c r="K222" s="21" t="e">
        <f t="shared" si="354"/>
        <v>#VALUE!</v>
      </c>
      <c r="L222" s="21" t="e">
        <f t="shared" si="355"/>
        <v>#VALUE!</v>
      </c>
      <c r="M222" s="21" t="e">
        <f t="shared" si="356"/>
        <v>#VALUE!</v>
      </c>
      <c r="N222" s="21" t="e">
        <f t="shared" si="357"/>
        <v>#VALUE!</v>
      </c>
      <c r="O222" s="25" t="str">
        <f>IF('C9 Validation Rubrics'!M25="","",'C9 Validation Rubrics'!M25)</f>
        <v/>
      </c>
      <c r="P222" s="25" t="str">
        <f>IF('C9 Validation Rubrics'!N25="","",'C9 Validation Rubrics'!N25)</f>
        <v/>
      </c>
      <c r="Q222" s="25" t="str">
        <f t="shared" si="327"/>
        <v/>
      </c>
      <c r="R222" s="21" t="str">
        <f>IF('C9 Validation Rubrics'!O25="","",'C9 Validation Rubrics'!O25)</f>
        <v/>
      </c>
    </row>
    <row r="223" spans="1:18" ht="15.75" customHeight="1">
      <c r="A223" s="16" t="s">
        <v>1627</v>
      </c>
      <c r="B223" s="16" t="s">
        <v>1450</v>
      </c>
      <c r="C223" s="16"/>
      <c r="D223" s="16"/>
      <c r="E223" s="16" t="s">
        <v>1718</v>
      </c>
      <c r="F223" s="16" t="s">
        <v>1718</v>
      </c>
      <c r="G223" s="16" t="s">
        <v>1718</v>
      </c>
      <c r="H223" s="17" t="str">
        <f>IF(COUNT(H224)=0,"",SUM(H224))</f>
        <v/>
      </c>
      <c r="I223" s="17" t="str">
        <f t="shared" si="323"/>
        <v/>
      </c>
      <c r="J223" s="16" t="str">
        <f t="shared" si="324"/>
        <v/>
      </c>
      <c r="K223" s="16" t="e">
        <f t="shared" ref="K223:N223" si="358">SUM(K224)</f>
        <v>#VALUE!</v>
      </c>
      <c r="L223" s="16" t="e">
        <f t="shared" si="358"/>
        <v>#VALUE!</v>
      </c>
      <c r="M223" s="16" t="e">
        <f t="shared" si="358"/>
        <v>#VALUE!</v>
      </c>
      <c r="N223" s="16" t="e">
        <f t="shared" si="358"/>
        <v>#VALUE!</v>
      </c>
      <c r="O223" s="17" t="str">
        <f t="shared" ref="O223:P223" si="359">IF(COUNT(O224)=0,"",SUM(O224))</f>
        <v/>
      </c>
      <c r="P223" s="17" t="str">
        <f t="shared" si="359"/>
        <v/>
      </c>
      <c r="Q223" s="17" t="str">
        <f t="shared" si="327"/>
        <v/>
      </c>
      <c r="R223" s="16"/>
    </row>
    <row r="224" spans="1:18" ht="15.75" customHeight="1">
      <c r="A224" s="21" t="s">
        <v>1452</v>
      </c>
      <c r="B224" s="21" t="s">
        <v>1453</v>
      </c>
      <c r="C224" s="21" t="s">
        <v>1710</v>
      </c>
      <c r="D224" s="21" t="s">
        <v>101</v>
      </c>
      <c r="E224" s="21" t="s">
        <v>1718</v>
      </c>
      <c r="F224" s="22" t="s">
        <v>1718</v>
      </c>
      <c r="G224" s="22" t="s">
        <v>1718</v>
      </c>
      <c r="H224" s="25" t="e">
        <f>IF(OR(G224="",F224="",F224=0),"",ROUND(E224*MIN(G224/F224,1),2))</f>
        <v>#VALUE!</v>
      </c>
      <c r="I224" s="25" t="e">
        <f t="shared" si="323"/>
        <v>#VALUE!</v>
      </c>
      <c r="J224" s="21" t="e">
        <f t="shared" si="324"/>
        <v>#VALUE!</v>
      </c>
      <c r="K224" s="21" t="e">
        <f>IF($J224="Y",1,"")</f>
        <v>#VALUE!</v>
      </c>
      <c r="L224" s="21" t="e">
        <f>IF($J224="C",1,"")</f>
        <v>#VALUE!</v>
      </c>
      <c r="M224" s="21" t="e">
        <f>IF($J224="W",1,"")</f>
        <v>#VALUE!</v>
      </c>
      <c r="N224" s="21" t="e">
        <f>IF($J224="D",1,"")</f>
        <v>#VALUE!</v>
      </c>
      <c r="O224" s="25" t="str">
        <f>IF('C9 Validation Rubrics'!M27="","",'C9 Validation Rubrics'!M27)</f>
        <v/>
      </c>
      <c r="P224" s="25" t="str">
        <f>IF('C9 Validation Rubrics'!N27="","",'C9 Validation Rubrics'!N27)</f>
        <v/>
      </c>
      <c r="Q224" s="25" t="str">
        <f t="shared" si="327"/>
        <v/>
      </c>
      <c r="R224" s="21" t="str">
        <f>IF('C9 Validation Rubrics'!O27="","",'C9 Validation Rubrics'!O27)</f>
        <v/>
      </c>
    </row>
    <row r="225" spans="1:18" ht="15.75" customHeight="1">
      <c r="A225" s="16" t="s">
        <v>1491</v>
      </c>
      <c r="B225" s="16" t="s">
        <v>1460</v>
      </c>
      <c r="C225" s="16"/>
      <c r="D225" s="16"/>
      <c r="E225" s="16" t="s">
        <v>1718</v>
      </c>
      <c r="F225" s="16" t="s">
        <v>1718</v>
      </c>
      <c r="G225" s="16" t="s">
        <v>1718</v>
      </c>
      <c r="H225" s="17" t="str">
        <f>IF(COUNT(H226)=0,"",SUM(H226))</f>
        <v/>
      </c>
      <c r="I225" s="17" t="str">
        <f t="shared" si="323"/>
        <v/>
      </c>
      <c r="J225" s="16" t="str">
        <f t="shared" si="324"/>
        <v/>
      </c>
      <c r="K225" s="16" t="e">
        <f t="shared" ref="K225:N225" si="360">SUM(K226)</f>
        <v>#VALUE!</v>
      </c>
      <c r="L225" s="16" t="e">
        <f t="shared" si="360"/>
        <v>#VALUE!</v>
      </c>
      <c r="M225" s="16" t="e">
        <f t="shared" si="360"/>
        <v>#VALUE!</v>
      </c>
      <c r="N225" s="16" t="e">
        <f t="shared" si="360"/>
        <v>#VALUE!</v>
      </c>
      <c r="O225" s="17" t="str">
        <f t="shared" ref="O225:P225" si="361">IF(COUNT(O226)=0,"",SUM(O226))</f>
        <v/>
      </c>
      <c r="P225" s="17" t="str">
        <f t="shared" si="361"/>
        <v/>
      </c>
      <c r="Q225" s="17" t="str">
        <f t="shared" si="327"/>
        <v/>
      </c>
      <c r="R225" s="16"/>
    </row>
    <row r="226" spans="1:18" ht="15.75" customHeight="1">
      <c r="A226" s="21" t="s">
        <v>1462</v>
      </c>
      <c r="B226" s="21" t="s">
        <v>1463</v>
      </c>
      <c r="C226" s="21" t="s">
        <v>1710</v>
      </c>
      <c r="D226" s="21" t="s">
        <v>101</v>
      </c>
      <c r="E226" s="21" t="s">
        <v>1718</v>
      </c>
      <c r="F226" s="22" t="s">
        <v>1718</v>
      </c>
      <c r="G226" s="22" t="s">
        <v>1718</v>
      </c>
      <c r="H226" s="25" t="e">
        <f>IF(OR(G226="",F226="",F226=0),"",ROUND(E226*MIN(G226/F226,1),2))</f>
        <v>#VALUE!</v>
      </c>
      <c r="I226" s="25" t="e">
        <f t="shared" si="323"/>
        <v>#VALUE!</v>
      </c>
      <c r="J226" s="21" t="e">
        <f t="shared" si="324"/>
        <v>#VALUE!</v>
      </c>
      <c r="K226" s="21" t="e">
        <f>IF($J226="Y",1,"")</f>
        <v>#VALUE!</v>
      </c>
      <c r="L226" s="21" t="e">
        <f>IF($J226="C",1,"")</f>
        <v>#VALUE!</v>
      </c>
      <c r="M226" s="21" t="e">
        <f>IF($J226="W",1,"")</f>
        <v>#VALUE!</v>
      </c>
      <c r="N226" s="21" t="e">
        <f>IF($J226="D",1,"")</f>
        <v>#VALUE!</v>
      </c>
      <c r="O226" s="25" t="str">
        <f>IF('C9 Validation Rubrics'!M29="","",'C9 Validation Rubrics'!M29)</f>
        <v/>
      </c>
      <c r="P226" s="25" t="str">
        <f>IF('C9 Validation Rubrics'!N29="","",'C9 Validation Rubrics'!N29)</f>
        <v/>
      </c>
      <c r="Q226" s="25" t="str">
        <f t="shared" si="327"/>
        <v/>
      </c>
      <c r="R226" s="21" t="str">
        <f>IF('C9 Validation Rubrics'!O29="","",'C9 Validation Rubrics'!O29)</f>
        <v/>
      </c>
    </row>
    <row r="227" spans="1:18" ht="15.75" customHeight="1">
      <c r="A227" s="16" t="s">
        <v>1629</v>
      </c>
      <c r="B227" s="16" t="s">
        <v>1467</v>
      </c>
      <c r="C227" s="16"/>
      <c r="D227" s="16"/>
      <c r="E227" s="16" t="s">
        <v>1718</v>
      </c>
      <c r="F227" s="16" t="s">
        <v>1718</v>
      </c>
      <c r="G227" s="16" t="s">
        <v>1718</v>
      </c>
      <c r="H227" s="17" t="str">
        <f>IF(COUNT(H228)=0,"",SUM(H228))</f>
        <v/>
      </c>
      <c r="I227" s="17" t="str">
        <f t="shared" si="323"/>
        <v/>
      </c>
      <c r="J227" s="16" t="str">
        <f t="shared" si="324"/>
        <v/>
      </c>
      <c r="K227" s="16" t="e">
        <f t="shared" ref="K227:N227" si="362">SUM(K228)</f>
        <v>#VALUE!</v>
      </c>
      <c r="L227" s="16" t="e">
        <f t="shared" si="362"/>
        <v>#VALUE!</v>
      </c>
      <c r="M227" s="16" t="e">
        <f t="shared" si="362"/>
        <v>#VALUE!</v>
      </c>
      <c r="N227" s="16" t="e">
        <f t="shared" si="362"/>
        <v>#VALUE!</v>
      </c>
      <c r="O227" s="17" t="str">
        <f t="shared" ref="O227:P227" si="363">IF(COUNT(O228)=0,"",SUM(O228))</f>
        <v/>
      </c>
      <c r="P227" s="17" t="str">
        <f t="shared" si="363"/>
        <v/>
      </c>
      <c r="Q227" s="17" t="str">
        <f t="shared" si="327"/>
        <v/>
      </c>
      <c r="R227" s="16"/>
    </row>
    <row r="228" spans="1:18" ht="15.75" customHeight="1">
      <c r="A228" s="21" t="s">
        <v>1468</v>
      </c>
      <c r="B228" s="21" t="s">
        <v>1469</v>
      </c>
      <c r="C228" s="21" t="s">
        <v>1711</v>
      </c>
      <c r="D228" s="21" t="s">
        <v>101</v>
      </c>
      <c r="E228" s="21" t="s">
        <v>1718</v>
      </c>
      <c r="F228" s="22" t="s">
        <v>1718</v>
      </c>
      <c r="G228" s="22" t="s">
        <v>1718</v>
      </c>
      <c r="H228" s="25" t="e">
        <f>IF(OR(G228="",F228="",F228=0),"",ROUND(E228*MIN(G228/F228,1),2))</f>
        <v>#VALUE!</v>
      </c>
      <c r="I228" s="25" t="e">
        <f t="shared" si="323"/>
        <v>#VALUE!</v>
      </c>
      <c r="J228" s="21" t="e">
        <f t="shared" si="324"/>
        <v>#VALUE!</v>
      </c>
      <c r="K228" s="21" t="e">
        <f>IF($J228="Y",1,"")</f>
        <v>#VALUE!</v>
      </c>
      <c r="L228" s="21" t="e">
        <f>IF($J228="C",1,"")</f>
        <v>#VALUE!</v>
      </c>
      <c r="M228" s="21" t="e">
        <f>IF($J228="W",1,"")</f>
        <v>#VALUE!</v>
      </c>
      <c r="N228" s="21" t="e">
        <f>IF($J228="D",1,"")</f>
        <v>#VALUE!</v>
      </c>
      <c r="O228" s="25" t="str">
        <f>IF('C9 Validation Rubrics'!M31="","",'C9 Validation Rubrics'!M31)</f>
        <v/>
      </c>
      <c r="P228" s="25" t="str">
        <f>IF('C9 Validation Rubrics'!N31="","",'C9 Validation Rubrics'!N31)</f>
        <v/>
      </c>
      <c r="Q228" s="25" t="str">
        <f t="shared" si="327"/>
        <v/>
      </c>
      <c r="R228" s="21" t="str">
        <f>IF('C9 Validation Rubrics'!O31="","",'C9 Validation Rubrics'!O31)</f>
        <v/>
      </c>
    </row>
    <row r="229" spans="1:18" ht="15.75" customHeight="1">
      <c r="A229" s="16" t="s">
        <v>1670</v>
      </c>
      <c r="B229" s="16" t="s">
        <v>1475</v>
      </c>
      <c r="C229" s="16"/>
      <c r="D229" s="16"/>
      <c r="E229" s="16" t="s">
        <v>1718</v>
      </c>
      <c r="F229" s="16" t="s">
        <v>1718</v>
      </c>
      <c r="G229" s="16" t="s">
        <v>1718</v>
      </c>
      <c r="H229" s="17" t="str">
        <f>IF(COUNT(H230)=0,"",SUM(H230))</f>
        <v/>
      </c>
      <c r="I229" s="17" t="str">
        <f t="shared" si="323"/>
        <v/>
      </c>
      <c r="J229" s="16" t="str">
        <f t="shared" si="324"/>
        <v/>
      </c>
      <c r="K229" s="16" t="e">
        <f t="shared" ref="K229:N229" si="364">SUM(K230)</f>
        <v>#VALUE!</v>
      </c>
      <c r="L229" s="16" t="e">
        <f t="shared" si="364"/>
        <v>#VALUE!</v>
      </c>
      <c r="M229" s="16" t="e">
        <f t="shared" si="364"/>
        <v>#VALUE!</v>
      </c>
      <c r="N229" s="16" t="e">
        <f t="shared" si="364"/>
        <v>#VALUE!</v>
      </c>
      <c r="O229" s="17" t="str">
        <f t="shared" ref="O229:P229" si="365">IF(COUNT(O230)=0,"",SUM(O230))</f>
        <v/>
      </c>
      <c r="P229" s="17" t="str">
        <f t="shared" si="365"/>
        <v/>
      </c>
      <c r="Q229" s="17" t="str">
        <f t="shared" si="327"/>
        <v/>
      </c>
      <c r="R229" s="16"/>
    </row>
    <row r="230" spans="1:18" ht="15.75" customHeight="1">
      <c r="A230" s="21" t="s">
        <v>1478</v>
      </c>
      <c r="B230" s="21" t="s">
        <v>1479</v>
      </c>
      <c r="C230" s="21" t="s">
        <v>1712</v>
      </c>
      <c r="D230" s="21" t="s">
        <v>101</v>
      </c>
      <c r="E230" s="21" t="s">
        <v>1718</v>
      </c>
      <c r="F230" s="22" t="s">
        <v>1718</v>
      </c>
      <c r="G230" s="22" t="s">
        <v>1718</v>
      </c>
      <c r="H230" s="25" t="e">
        <f>IF(OR(G230="",F230="",F230=0),"",ROUND(E230*MIN(G230/F230,1),2))</f>
        <v>#VALUE!</v>
      </c>
      <c r="I230" s="25" t="e">
        <f t="shared" si="323"/>
        <v>#VALUE!</v>
      </c>
      <c r="J230" s="21" t="e">
        <f t="shared" si="324"/>
        <v>#VALUE!</v>
      </c>
      <c r="K230" s="21" t="e">
        <f>IF($J230="Y",1,"")</f>
        <v>#VALUE!</v>
      </c>
      <c r="L230" s="21" t="e">
        <f>IF($J230="C",1,"")</f>
        <v>#VALUE!</v>
      </c>
      <c r="M230" s="21" t="e">
        <f>IF($J230="W",1,"")</f>
        <v>#VALUE!</v>
      </c>
      <c r="N230" s="21" t="e">
        <f>IF($J230="D",1,"")</f>
        <v>#VALUE!</v>
      </c>
      <c r="O230" s="25" t="str">
        <f>IF('C9 Validation Rubrics'!M33="","",'C9 Validation Rubrics'!M33)</f>
        <v/>
      </c>
      <c r="P230" s="25" t="str">
        <f>IF('C9 Validation Rubrics'!N33="","",'C9 Validation Rubrics'!N33)</f>
        <v/>
      </c>
      <c r="Q230" s="25" t="str">
        <f t="shared" si="327"/>
        <v/>
      </c>
      <c r="R230" s="21" t="str">
        <f>IF('C9 Validation Rubrics'!O33="","",'C9 Validation Rubrics'!O33)</f>
        <v/>
      </c>
    </row>
    <row r="231" spans="1:18" ht="15.75" customHeight="1">
      <c r="A231" s="16" t="s">
        <v>1672</v>
      </c>
      <c r="B231" s="16" t="s">
        <v>1485</v>
      </c>
      <c r="C231" s="16"/>
      <c r="D231" s="16"/>
      <c r="E231" s="16" t="s">
        <v>1718</v>
      </c>
      <c r="F231" s="16" t="s">
        <v>1718</v>
      </c>
      <c r="G231" s="16" t="s">
        <v>1718</v>
      </c>
      <c r="H231" s="17" t="str">
        <f>IF(COUNT(H232)=0,"",SUM(H232))</f>
        <v/>
      </c>
      <c r="I231" s="17" t="str">
        <f t="shared" si="323"/>
        <v/>
      </c>
      <c r="J231" s="16" t="str">
        <f t="shared" si="324"/>
        <v/>
      </c>
      <c r="K231" s="16" t="e">
        <f t="shared" ref="K231:N231" si="366">SUM(K232)</f>
        <v>#VALUE!</v>
      </c>
      <c r="L231" s="16" t="e">
        <f t="shared" si="366"/>
        <v>#VALUE!</v>
      </c>
      <c r="M231" s="16" t="e">
        <f t="shared" si="366"/>
        <v>#VALUE!</v>
      </c>
      <c r="N231" s="16" t="e">
        <f t="shared" si="366"/>
        <v>#VALUE!</v>
      </c>
      <c r="O231" s="17" t="str">
        <f t="shared" ref="O231:P231" si="367">IF(COUNT(O232)=0,"",SUM(O232))</f>
        <v/>
      </c>
      <c r="P231" s="17" t="str">
        <f t="shared" si="367"/>
        <v/>
      </c>
      <c r="Q231" s="17" t="str">
        <f t="shared" si="327"/>
        <v/>
      </c>
      <c r="R231" s="16"/>
    </row>
    <row r="232" spans="1:18" ht="15.75" customHeight="1">
      <c r="A232" s="21" t="s">
        <v>1487</v>
      </c>
      <c r="B232" s="21" t="s">
        <v>1485</v>
      </c>
      <c r="C232" s="21" t="s">
        <v>1713</v>
      </c>
      <c r="D232" s="21" t="s">
        <v>263</v>
      </c>
      <c r="E232" s="21" t="s">
        <v>1718</v>
      </c>
      <c r="F232" s="22" t="s">
        <v>1718</v>
      </c>
      <c r="G232" s="22" t="s">
        <v>1718</v>
      </c>
      <c r="H232" s="25" t="e">
        <f>IF(OR(G232="",F232="",F232=0),"",ROUND(E232*MIN(G232/F232,1),2))</f>
        <v>#VALUE!</v>
      </c>
      <c r="I232" s="25" t="e">
        <f t="shared" si="323"/>
        <v>#VALUE!</v>
      </c>
      <c r="J232" s="21" t="e">
        <f t="shared" si="324"/>
        <v>#VALUE!</v>
      </c>
      <c r="K232" s="21" t="e">
        <f>IF($J232="Y",1,"")</f>
        <v>#VALUE!</v>
      </c>
      <c r="L232" s="21" t="e">
        <f>IF($J232="C",1,"")</f>
        <v>#VALUE!</v>
      </c>
      <c r="M232" s="21" t="e">
        <f>IF($J232="W",1,"")</f>
        <v>#VALUE!</v>
      </c>
      <c r="N232" s="21" t="e">
        <f>IF($J232="D",1,"")</f>
        <v>#VALUE!</v>
      </c>
      <c r="O232" s="25" t="str">
        <f>IF('C9 Validation Rubrics'!M35="","",'C9 Validation Rubrics'!M35)</f>
        <v/>
      </c>
      <c r="P232" s="25" t="str">
        <f>IF('C9 Validation Rubrics'!N35="","",'C9 Validation Rubrics'!N35)</f>
        <v/>
      </c>
      <c r="Q232" s="25" t="str">
        <f t="shared" si="327"/>
        <v/>
      </c>
      <c r="R232" s="21" t="str">
        <f>IF('C9 Validation Rubrics'!O35="","",'C9 Validation Rubrics'!O35)</f>
        <v/>
      </c>
    </row>
    <row r="233" spans="1:18" ht="15.75" customHeight="1">
      <c r="A233" s="16" t="s">
        <v>1674</v>
      </c>
      <c r="B233" s="16" t="s">
        <v>1493</v>
      </c>
      <c r="C233" s="16"/>
      <c r="D233" s="16"/>
      <c r="E233" s="16" t="s">
        <v>1718</v>
      </c>
      <c r="F233" s="16" t="s">
        <v>1718</v>
      </c>
      <c r="G233" s="16" t="s">
        <v>1718</v>
      </c>
      <c r="H233" s="17" t="str">
        <f>IF(COUNT(H234)=0,"",SUM(H234))</f>
        <v/>
      </c>
      <c r="I233" s="17" t="str">
        <f t="shared" si="323"/>
        <v/>
      </c>
      <c r="J233" s="16" t="str">
        <f t="shared" si="324"/>
        <v/>
      </c>
      <c r="K233" s="16" t="e">
        <f t="shared" ref="K233:N233" si="368">SUM(K234)</f>
        <v>#VALUE!</v>
      </c>
      <c r="L233" s="16" t="e">
        <f t="shared" si="368"/>
        <v>#VALUE!</v>
      </c>
      <c r="M233" s="16" t="e">
        <f t="shared" si="368"/>
        <v>#VALUE!</v>
      </c>
      <c r="N233" s="16" t="e">
        <f t="shared" si="368"/>
        <v>#VALUE!</v>
      </c>
      <c r="O233" s="17" t="str">
        <f t="shared" ref="O233:P233" si="369">IF(COUNT(O234)=0,"",SUM(O234))</f>
        <v/>
      </c>
      <c r="P233" s="17" t="str">
        <f t="shared" si="369"/>
        <v/>
      </c>
      <c r="Q233" s="17" t="str">
        <f t="shared" si="327"/>
        <v/>
      </c>
      <c r="R233" s="16"/>
    </row>
    <row r="234" spans="1:18" ht="15.75" customHeight="1">
      <c r="A234" s="21" t="s">
        <v>1494</v>
      </c>
      <c r="B234" s="21" t="s">
        <v>1493</v>
      </c>
      <c r="C234" s="21" t="s">
        <v>1714</v>
      </c>
      <c r="D234" s="21" t="s">
        <v>263</v>
      </c>
      <c r="E234" s="21" t="s">
        <v>1718</v>
      </c>
      <c r="F234" s="22" t="s">
        <v>1718</v>
      </c>
      <c r="G234" s="22" t="s">
        <v>1718</v>
      </c>
      <c r="H234" s="25" t="e">
        <f>IF(OR(G234="",F234="",F234=0),"",ROUND(E234*MIN(G234/F234,1),2))</f>
        <v>#VALUE!</v>
      </c>
      <c r="I234" s="25" t="e">
        <f t="shared" si="323"/>
        <v>#VALUE!</v>
      </c>
      <c r="J234" s="21" t="e">
        <f t="shared" si="324"/>
        <v>#VALUE!</v>
      </c>
      <c r="K234" s="21" t="e">
        <f>IF($J234="Y",1,"")</f>
        <v>#VALUE!</v>
      </c>
      <c r="L234" s="21" t="e">
        <f>IF($J234="C",1,"")</f>
        <v>#VALUE!</v>
      </c>
      <c r="M234" s="21" t="e">
        <f>IF($J234="W",1,"")</f>
        <v>#VALUE!</v>
      </c>
      <c r="N234" s="21" t="e">
        <f>IF($J234="D",1,"")</f>
        <v>#VALUE!</v>
      </c>
      <c r="O234" s="25" t="str">
        <f>IF('C9 Validation Rubrics'!M37="","",'C9 Validation Rubrics'!M37)</f>
        <v/>
      </c>
      <c r="P234" s="25" t="str">
        <f>IF('C9 Validation Rubrics'!N37="","",'C9 Validation Rubrics'!N37)</f>
        <v/>
      </c>
      <c r="Q234" s="25" t="str">
        <f t="shared" si="327"/>
        <v/>
      </c>
      <c r="R234" s="21" t="str">
        <f>IF('C9 Validation Rubrics'!O37="","",'C9 Validation Rubrics'!O37)</f>
        <v/>
      </c>
    </row>
    <row r="235" spans="1:18" ht="15.75" customHeight="1">
      <c r="A235" s="16" t="s">
        <v>1676</v>
      </c>
      <c r="B235" s="16" t="s">
        <v>1498</v>
      </c>
      <c r="C235" s="16"/>
      <c r="D235" s="16"/>
      <c r="E235" s="16" t="s">
        <v>1718</v>
      </c>
      <c r="F235" s="16" t="s">
        <v>1718</v>
      </c>
      <c r="G235" s="16" t="s">
        <v>1718</v>
      </c>
      <c r="H235" s="17" t="str">
        <f>IF(COUNT(H236)=0,"",SUM(H236))</f>
        <v/>
      </c>
      <c r="I235" s="17" t="str">
        <f t="shared" si="323"/>
        <v/>
      </c>
      <c r="J235" s="16" t="str">
        <f t="shared" si="324"/>
        <v/>
      </c>
      <c r="K235" s="16" t="e">
        <f t="shared" ref="K235:N235" si="370">SUM(K236)</f>
        <v>#VALUE!</v>
      </c>
      <c r="L235" s="16" t="e">
        <f t="shared" si="370"/>
        <v>#VALUE!</v>
      </c>
      <c r="M235" s="16" t="e">
        <f t="shared" si="370"/>
        <v>#VALUE!</v>
      </c>
      <c r="N235" s="16" t="e">
        <f t="shared" si="370"/>
        <v>#VALUE!</v>
      </c>
      <c r="O235" s="17" t="str">
        <f t="shared" ref="O235:P235" si="371">IF(COUNT(O236)=0,"",SUM(O236))</f>
        <v/>
      </c>
      <c r="P235" s="17" t="str">
        <f t="shared" si="371"/>
        <v/>
      </c>
      <c r="Q235" s="17" t="str">
        <f t="shared" si="327"/>
        <v/>
      </c>
      <c r="R235" s="16"/>
    </row>
    <row r="236" spans="1:18" ht="15.75" customHeight="1">
      <c r="A236" s="21" t="s">
        <v>1500</v>
      </c>
      <c r="B236" s="21" t="s">
        <v>1501</v>
      </c>
      <c r="C236" s="21" t="s">
        <v>1715</v>
      </c>
      <c r="D236" s="21" t="s">
        <v>101</v>
      </c>
      <c r="E236" s="21" t="s">
        <v>1718</v>
      </c>
      <c r="F236" s="22" t="s">
        <v>1718</v>
      </c>
      <c r="G236" s="22" t="s">
        <v>1718</v>
      </c>
      <c r="H236" s="25" t="e">
        <f>IF(OR(G236="",F236="",F236=0),"",ROUND(E236*MIN(G236/F236,1),2))</f>
        <v>#VALUE!</v>
      </c>
      <c r="I236" s="25" t="e">
        <f t="shared" si="323"/>
        <v>#VALUE!</v>
      </c>
      <c r="J236" s="21" t="e">
        <f t="shared" si="324"/>
        <v>#VALUE!</v>
      </c>
      <c r="K236" s="21" t="e">
        <f>IF($J236="Y",1,"")</f>
        <v>#VALUE!</v>
      </c>
      <c r="L236" s="21" t="e">
        <f>IF($J236="C",1,"")</f>
        <v>#VALUE!</v>
      </c>
      <c r="M236" s="21" t="e">
        <f>IF($J236="W",1,"")</f>
        <v>#VALUE!</v>
      </c>
      <c r="N236" s="21" t="e">
        <f>IF($J236="D",1,"")</f>
        <v>#VALUE!</v>
      </c>
      <c r="O236" s="25" t="str">
        <f>IF('C9 Validation Rubrics'!M39="","",'C9 Validation Rubrics'!M39)</f>
        <v/>
      </c>
      <c r="P236" s="25" t="str">
        <f>IF('C9 Validation Rubrics'!N39="","",'C9 Validation Rubrics'!N39)</f>
        <v/>
      </c>
      <c r="Q236" s="25" t="str">
        <f t="shared" si="327"/>
        <v/>
      </c>
      <c r="R236" s="21" t="str">
        <f>IF('C9 Validation Rubrics'!O39="","",'C9 Validation Rubrics'!O39)</f>
        <v/>
      </c>
    </row>
    <row r="237" spans="1:18" ht="15.75" customHeight="1">
      <c r="A237" s="16" t="s">
        <v>1678</v>
      </c>
      <c r="B237" s="16" t="s">
        <v>1518</v>
      </c>
      <c r="C237" s="16"/>
      <c r="D237" s="16"/>
      <c r="E237" s="16" t="s">
        <v>1718</v>
      </c>
      <c r="F237" s="16" t="s">
        <v>1718</v>
      </c>
      <c r="G237" s="16" t="s">
        <v>1718</v>
      </c>
      <c r="H237" s="17" t="str">
        <f>IF(COUNT(H238)=0,"",SUM(H238))</f>
        <v/>
      </c>
      <c r="I237" s="17" t="str">
        <f t="shared" si="323"/>
        <v/>
      </c>
      <c r="J237" s="16" t="str">
        <f t="shared" si="324"/>
        <v/>
      </c>
      <c r="K237" s="16" t="e">
        <f t="shared" ref="K237:N237" si="372">SUM(K238)</f>
        <v>#VALUE!</v>
      </c>
      <c r="L237" s="16" t="e">
        <f t="shared" si="372"/>
        <v>#VALUE!</v>
      </c>
      <c r="M237" s="16" t="e">
        <f t="shared" si="372"/>
        <v>#VALUE!</v>
      </c>
      <c r="N237" s="16" t="e">
        <f t="shared" si="372"/>
        <v>#VALUE!</v>
      </c>
      <c r="O237" s="17" t="str">
        <f t="shared" ref="O237:P237" si="373">IF(COUNT(O238)=0,"",SUM(O238))</f>
        <v/>
      </c>
      <c r="P237" s="17" t="str">
        <f t="shared" si="373"/>
        <v/>
      </c>
      <c r="Q237" s="17" t="str">
        <f t="shared" si="327"/>
        <v/>
      </c>
      <c r="R237" s="16"/>
    </row>
    <row r="238" spans="1:18" ht="15.75" customHeight="1">
      <c r="A238" s="21" t="s">
        <v>1519</v>
      </c>
      <c r="B238" s="21" t="s">
        <v>1518</v>
      </c>
      <c r="C238" s="21" t="s">
        <v>1716</v>
      </c>
      <c r="D238" s="21" t="s">
        <v>263</v>
      </c>
      <c r="E238" s="21" t="s">
        <v>1718</v>
      </c>
      <c r="F238" s="22" t="s">
        <v>1718</v>
      </c>
      <c r="G238" s="22" t="s">
        <v>1718</v>
      </c>
      <c r="H238" s="25" t="e">
        <f>IF(OR(G238="",F238="",F238=0),"",ROUND(E238*MIN(G238/F238,1),2))</f>
        <v>#VALUE!</v>
      </c>
      <c r="I238" s="25" t="e">
        <f t="shared" si="323"/>
        <v>#VALUE!</v>
      </c>
      <c r="J238" s="21" t="e">
        <f t="shared" si="324"/>
        <v>#VALUE!</v>
      </c>
      <c r="K238" s="21" t="e">
        <f>IF($J238="Y",1,"")</f>
        <v>#VALUE!</v>
      </c>
      <c r="L238" s="21" t="e">
        <f>IF($J238="C",1,"")</f>
        <v>#VALUE!</v>
      </c>
      <c r="M238" s="21" t="e">
        <f>IF($J238="W",1,"")</f>
        <v>#VALUE!</v>
      </c>
      <c r="N238" s="21" t="e">
        <f>IF($J238="D",1,"")</f>
        <v>#VALUE!</v>
      </c>
      <c r="O238" s="25" t="str">
        <f>IF('C9 Validation Rubrics'!M41="","",'C9 Validation Rubrics'!M41)</f>
        <v/>
      </c>
      <c r="P238" s="25" t="str">
        <f>IF('C9 Validation Rubrics'!N41="","",'C9 Validation Rubrics'!N41)</f>
        <v/>
      </c>
      <c r="Q238" s="25" t="str">
        <f t="shared" si="327"/>
        <v/>
      </c>
      <c r="R238" s="21" t="str">
        <f>IF('C9 Validation Rubrics'!O41="","",'C9 Validation Rubrics'!O41)</f>
        <v/>
      </c>
    </row>
    <row r="239" spans="1:18" ht="15.75" customHeight="1">
      <c r="A239" s="23" t="s">
        <v>72</v>
      </c>
      <c r="B239" s="23" t="s">
        <v>1524</v>
      </c>
      <c r="C239" s="23"/>
      <c r="D239" s="23"/>
      <c r="E239" s="23" t="s">
        <v>1718</v>
      </c>
      <c r="F239" s="23" t="s">
        <v>1718</v>
      </c>
      <c r="G239" s="23" t="s">
        <v>1718</v>
      </c>
      <c r="H239" s="35" t="str">
        <f>IF(COUNT(H205,H207,H210,H214,H217,H219,H223,H225,H227,H229,H231,H233,H235,H237)=0,"",N(H205)+N(H207)+N(H210)+N(H214)+N(H217)+N(H219)+N(H223)+N(H225)+N(H227)+N(H229)+N(H231)+N(H233)+N(H235)+N(H237))</f>
        <v/>
      </c>
      <c r="I239" s="35" t="str">
        <f t="shared" si="323"/>
        <v/>
      </c>
      <c r="J239" s="23" t="str">
        <f t="shared" si="324"/>
        <v/>
      </c>
      <c r="K239" s="23" t="e">
        <f t="shared" ref="K239:N239" si="374">N(K205)+N(K207)+N(K210)+N(K214)+N(K217)+N(K219)+N(K223)+N(K225)+N(K227)+N(K229)+N(K231)+N(K233)+N(K235)+N(K237)</f>
        <v>#VALUE!</v>
      </c>
      <c r="L239" s="23" t="e">
        <f t="shared" si="374"/>
        <v>#VALUE!</v>
      </c>
      <c r="M239" s="23" t="e">
        <f t="shared" si="374"/>
        <v>#VALUE!</v>
      </c>
      <c r="N239" s="23" t="e">
        <f t="shared" si="374"/>
        <v>#VALUE!</v>
      </c>
      <c r="O239" s="35" t="str">
        <f t="shared" ref="O239:P239" si="375">IF(COUNT(O205,O207,O210,O214,O217,O219,O223,O225,O227,O229,O231,O233,O235,O237)=0,"",N(O205)+N(O207)+N(O210)+N(O214)+N(O217)+N(O219)+N(O223)+N(O225)+N(O227)+N(O229)+N(O231)+N(O233)+N(O235)+N(O237))</f>
        <v/>
      </c>
      <c r="P239" s="35" t="str">
        <f t="shared" si="375"/>
        <v/>
      </c>
      <c r="Q239" s="35" t="str">
        <f t="shared" si="327"/>
        <v/>
      </c>
      <c r="R239" s="23"/>
    </row>
    <row r="240" spans="1:18" ht="15.75" customHeight="1">
      <c r="A240" s="39" t="s">
        <v>1408</v>
      </c>
      <c r="B240" s="39" t="s">
        <v>1717</v>
      </c>
      <c r="C240" s="39"/>
      <c r="D240" s="39"/>
      <c r="E240" s="39">
        <f>N(E36)+N(E77)+N(E107)+N(E134)+N(E149)+N(E168)+N(E187)+N(E203)+N(E239)</f>
        <v>0</v>
      </c>
      <c r="F240" s="39"/>
      <c r="G240" s="39"/>
      <c r="H240" s="40">
        <f>N(H36)+N(H77)+N(H107)+N(H134)+N(H149)+N(H168)+N(H187)+N(H203)+N(H239)</f>
        <v>0</v>
      </c>
      <c r="I240" s="40" t="str">
        <f>IF(COUNT(H36,H77,H107,H134,H149,H168,H187,H203,H239)=0,"",ROUND(H240/E240*100,2))</f>
        <v/>
      </c>
      <c r="J240" s="39" t="str">
        <f t="shared" si="324"/>
        <v/>
      </c>
      <c r="K240" s="39" t="e">
        <f t="shared" ref="K240:P240" si="376">N(K36)+N(K77)+N(K107)+N(K134)+N(K149)+N(K168)+N(K187)+N(K203)+N(K239)</f>
        <v>#VALUE!</v>
      </c>
      <c r="L240" s="39" t="e">
        <f t="shared" si="376"/>
        <v>#VALUE!</v>
      </c>
      <c r="M240" s="39" t="e">
        <f t="shared" si="376"/>
        <v>#VALUE!</v>
      </c>
      <c r="N240" s="39" t="e">
        <f t="shared" si="376"/>
        <v>#VALUE!</v>
      </c>
      <c r="O240" s="40">
        <f t="shared" si="376"/>
        <v>0</v>
      </c>
      <c r="P240" s="40">
        <f t="shared" si="376"/>
        <v>0</v>
      </c>
      <c r="Q240" s="40" t="str">
        <f t="shared" si="327"/>
        <v/>
      </c>
      <c r="R240" s="3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69:N169"/>
    <mergeCell ref="B188:N188"/>
    <mergeCell ref="B204:N204"/>
    <mergeCell ref="A2:N2"/>
    <mergeCell ref="B5:N5"/>
    <mergeCell ref="B37:N37"/>
    <mergeCell ref="B78:N78"/>
    <mergeCell ref="B108:N108"/>
    <mergeCell ref="B135:N135"/>
    <mergeCell ref="B150:N150"/>
  </mergeCells>
  <conditionalFormatting sqref="J5:J240">
    <cfRule type="cellIs" dxfId="49" priority="1" operator="equal">
      <formula>"Y"</formula>
    </cfRule>
    <cfRule type="cellIs" dxfId="48" priority="2" operator="equal">
      <formula>"C"</formula>
    </cfRule>
    <cfRule type="cellIs" dxfId="47" priority="3" operator="equal">
      <formula>"W"</formula>
    </cfRule>
    <cfRule type="cellIs" dxfId="46" priority="4" operator="equal">
      <formula>"D"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3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64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84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1.1000000000000001</v>
      </c>
      <c r="B8" s="20" t="s">
        <v>57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SUM(Q9:Q16)</f>
        <v>35</v>
      </c>
      <c r="R8" s="20">
        <v>30</v>
      </c>
      <c r="S8" s="20"/>
      <c r="T8" s="24">
        <f>SUM(T9:T16)</f>
        <v>0</v>
      </c>
      <c r="U8" s="24" t="str">
        <f>IF(COUNT(T9:T16)=0,"",ROUND(T8/Q8*100,2))</f>
        <v/>
      </c>
      <c r="V8" s="20" t="str">
        <f t="shared" ref="V8:V38" si="0">IF(U8="","",IF(U8&gt;YT*100,"Y",IF(U8&gt;=CT*100,"C",IF(U8&gt;=WT*100,"W","D"))))</f>
        <v/>
      </c>
      <c r="W8" s="20">
        <f t="shared" ref="W8:Z8" si="1">SUM(W9:W16)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30">
      <c r="A9" s="27" t="s">
        <v>98</v>
      </c>
      <c r="B9" s="27" t="s">
        <v>99</v>
      </c>
      <c r="C9" s="27" t="s">
        <v>110</v>
      </c>
      <c r="D9" s="27" t="s">
        <v>111</v>
      </c>
      <c r="E9" s="27" t="s">
        <v>112</v>
      </c>
      <c r="F9" s="28">
        <v>1</v>
      </c>
      <c r="G9" s="29">
        <v>3</v>
      </c>
      <c r="H9" s="27" t="s">
        <v>113</v>
      </c>
      <c r="I9" s="27" t="s">
        <v>114</v>
      </c>
      <c r="J9" s="27" t="s">
        <v>115</v>
      </c>
      <c r="K9" s="27" t="s">
        <v>116</v>
      </c>
      <c r="L9" s="27" t="s">
        <v>117</v>
      </c>
      <c r="M9" s="29"/>
      <c r="N9" s="29"/>
      <c r="O9" s="29"/>
      <c r="P9" s="27" t="s">
        <v>101</v>
      </c>
      <c r="Q9" s="27">
        <v>5</v>
      </c>
      <c r="R9" s="14"/>
      <c r="S9" s="14"/>
      <c r="T9" s="30" t="str">
        <f t="shared" ref="T9:T16" si="2">IF(OR(S9="",R9="",R9=0),"",ROUND(Q9*MIN(S9/R9,1),2))</f>
        <v/>
      </c>
      <c r="U9" s="30" t="str">
        <f t="shared" ref="U9:U16" si="3">IF(T9="","",ROUND(T9/Q9*100,2))</f>
        <v/>
      </c>
      <c r="V9" s="8" t="str">
        <f t="shared" si="0"/>
        <v/>
      </c>
      <c r="W9" s="8" t="str">
        <f t="shared" ref="W9:W16" si="4">IF($V9="Y",1,"")</f>
        <v/>
      </c>
      <c r="X9" s="8" t="str">
        <f t="shared" ref="X9:X16" si="5">IF($V9="C",1,"")</f>
        <v/>
      </c>
      <c r="Y9" s="8" t="str">
        <f t="shared" ref="Y9:Y16" si="6">IF($V9="W",1,"")</f>
        <v/>
      </c>
      <c r="Z9" s="8" t="str">
        <f t="shared" ref="Z9:Z16" si="7">IF($V9="D",1,"")</f>
        <v/>
      </c>
    </row>
    <row r="10" spans="1:26" ht="45">
      <c r="A10" s="27" t="s">
        <v>118</v>
      </c>
      <c r="B10" s="27" t="s">
        <v>120</v>
      </c>
      <c r="C10" s="27" t="s">
        <v>126</v>
      </c>
      <c r="D10" s="27" t="s">
        <v>127</v>
      </c>
      <c r="E10" s="27" t="s">
        <v>128</v>
      </c>
      <c r="F10" s="28">
        <v>1</v>
      </c>
      <c r="G10" s="29">
        <v>3</v>
      </c>
      <c r="H10" s="27" t="s">
        <v>129</v>
      </c>
      <c r="I10" s="27" t="s">
        <v>130</v>
      </c>
      <c r="J10" s="27" t="s">
        <v>131</v>
      </c>
      <c r="K10" s="27" t="s">
        <v>132</v>
      </c>
      <c r="L10" s="27" t="s">
        <v>133</v>
      </c>
      <c r="M10" s="29"/>
      <c r="N10" s="29"/>
      <c r="O10" s="29"/>
      <c r="P10" s="27" t="s">
        <v>101</v>
      </c>
      <c r="Q10" s="27">
        <v>5</v>
      </c>
      <c r="R10" s="14"/>
      <c r="S10" s="14"/>
      <c r="T10" s="30" t="str">
        <f t="shared" si="2"/>
        <v/>
      </c>
      <c r="U10" s="30" t="str">
        <f t="shared" si="3"/>
        <v/>
      </c>
      <c r="V10" s="8" t="str">
        <f t="shared" si="0"/>
        <v/>
      </c>
      <c r="W10" s="8" t="str">
        <f t="shared" si="4"/>
        <v/>
      </c>
      <c r="X10" s="8" t="str">
        <f t="shared" si="5"/>
        <v/>
      </c>
      <c r="Y10" s="8" t="str">
        <f t="shared" si="6"/>
        <v/>
      </c>
      <c r="Z10" s="8" t="str">
        <f t="shared" si="7"/>
        <v/>
      </c>
    </row>
    <row r="11" spans="1:26" ht="45">
      <c r="A11" s="27" t="s">
        <v>123</v>
      </c>
      <c r="B11" s="27" t="s">
        <v>124</v>
      </c>
      <c r="C11" s="27" t="s">
        <v>135</v>
      </c>
      <c r="D11" s="27" t="s">
        <v>136</v>
      </c>
      <c r="E11" s="27" t="s">
        <v>137</v>
      </c>
      <c r="F11" s="28">
        <v>1</v>
      </c>
      <c r="G11" s="29">
        <v>6</v>
      </c>
      <c r="H11" s="27" t="s">
        <v>138</v>
      </c>
      <c r="I11" s="27" t="s">
        <v>139</v>
      </c>
      <c r="J11" s="27" t="s">
        <v>140</v>
      </c>
      <c r="K11" s="27" t="s">
        <v>141</v>
      </c>
      <c r="L11" s="27" t="s">
        <v>142</v>
      </c>
      <c r="M11" s="29"/>
      <c r="N11" s="29"/>
      <c r="O11" s="29"/>
      <c r="P11" s="27" t="s">
        <v>101</v>
      </c>
      <c r="Q11" s="27">
        <v>5</v>
      </c>
      <c r="R11" s="14"/>
      <c r="S11" s="14"/>
      <c r="T11" s="30" t="str">
        <f t="shared" si="2"/>
        <v/>
      </c>
      <c r="U11" s="30" t="str">
        <f t="shared" si="3"/>
        <v/>
      </c>
      <c r="V11" s="8" t="str">
        <f t="shared" si="0"/>
        <v/>
      </c>
      <c r="W11" s="8" t="str">
        <f t="shared" si="4"/>
        <v/>
      </c>
      <c r="X11" s="8" t="str">
        <f t="shared" si="5"/>
        <v/>
      </c>
      <c r="Y11" s="8" t="str">
        <f t="shared" si="6"/>
        <v/>
      </c>
      <c r="Z11" s="8" t="str">
        <f t="shared" si="7"/>
        <v/>
      </c>
    </row>
    <row r="12" spans="1:26" ht="45">
      <c r="A12" s="27" t="s">
        <v>144</v>
      </c>
      <c r="B12" s="27" t="s">
        <v>145</v>
      </c>
      <c r="C12" s="27" t="s">
        <v>147</v>
      </c>
      <c r="D12" s="27" t="s">
        <v>148</v>
      </c>
      <c r="E12" s="27" t="s">
        <v>149</v>
      </c>
      <c r="F12" s="28">
        <v>0.1</v>
      </c>
      <c r="G12" s="29">
        <v>10</v>
      </c>
      <c r="H12" s="27" t="s">
        <v>150</v>
      </c>
      <c r="I12" s="27" t="s">
        <v>151</v>
      </c>
      <c r="J12" s="27" t="s">
        <v>152</v>
      </c>
      <c r="K12" s="27" t="s">
        <v>153</v>
      </c>
      <c r="L12" s="27" t="s">
        <v>154</v>
      </c>
      <c r="M12" s="29"/>
      <c r="N12" s="29"/>
      <c r="O12" s="29"/>
      <c r="P12" s="27" t="s">
        <v>101</v>
      </c>
      <c r="Q12" s="27">
        <v>5</v>
      </c>
      <c r="R12" s="14"/>
      <c r="S12" s="14"/>
      <c r="T12" s="30" t="str">
        <f t="shared" si="2"/>
        <v/>
      </c>
      <c r="U12" s="30" t="str">
        <f t="shared" si="3"/>
        <v/>
      </c>
      <c r="V12" s="8" t="str">
        <f t="shared" si="0"/>
        <v/>
      </c>
      <c r="W12" s="8" t="str">
        <f t="shared" si="4"/>
        <v/>
      </c>
      <c r="X12" s="8" t="str">
        <f t="shared" si="5"/>
        <v/>
      </c>
      <c r="Y12" s="8" t="str">
        <f t="shared" si="6"/>
        <v/>
      </c>
      <c r="Z12" s="8" t="str">
        <f t="shared" si="7"/>
        <v/>
      </c>
    </row>
    <row r="13" spans="1:26" ht="45">
      <c r="A13" s="27" t="s">
        <v>156</v>
      </c>
      <c r="B13" s="27" t="s">
        <v>157</v>
      </c>
      <c r="C13" s="27" t="s">
        <v>158</v>
      </c>
      <c r="D13" s="27" t="s">
        <v>159</v>
      </c>
      <c r="E13" s="27" t="s">
        <v>160</v>
      </c>
      <c r="F13" s="28">
        <v>1</v>
      </c>
      <c r="G13" s="29">
        <v>6</v>
      </c>
      <c r="H13" s="27" t="s">
        <v>161</v>
      </c>
      <c r="I13" s="27" t="s">
        <v>162</v>
      </c>
      <c r="J13" s="27" t="s">
        <v>163</v>
      </c>
      <c r="K13" s="27" t="s">
        <v>164</v>
      </c>
      <c r="L13" s="27" t="s">
        <v>165</v>
      </c>
      <c r="M13" s="29"/>
      <c r="N13" s="29"/>
      <c r="O13" s="29"/>
      <c r="P13" s="27" t="s">
        <v>101</v>
      </c>
      <c r="Q13" s="27">
        <v>2</v>
      </c>
      <c r="R13" s="14"/>
      <c r="S13" s="14"/>
      <c r="T13" s="30" t="str">
        <f t="shared" si="2"/>
        <v/>
      </c>
      <c r="U13" s="30" t="str">
        <f t="shared" si="3"/>
        <v/>
      </c>
      <c r="V13" s="8" t="str">
        <f t="shared" si="0"/>
        <v/>
      </c>
      <c r="W13" s="8" t="str">
        <f t="shared" si="4"/>
        <v/>
      </c>
      <c r="X13" s="8" t="str">
        <f t="shared" si="5"/>
        <v/>
      </c>
      <c r="Y13" s="8" t="str">
        <f t="shared" si="6"/>
        <v/>
      </c>
      <c r="Z13" s="8" t="str">
        <f t="shared" si="7"/>
        <v/>
      </c>
    </row>
    <row r="14" spans="1:26" ht="30">
      <c r="A14" s="27" t="s">
        <v>168</v>
      </c>
      <c r="B14" s="27" t="s">
        <v>169</v>
      </c>
      <c r="C14" s="27" t="s">
        <v>170</v>
      </c>
      <c r="D14" s="27" t="s">
        <v>171</v>
      </c>
      <c r="E14" s="27" t="s">
        <v>172</v>
      </c>
      <c r="F14" s="28">
        <v>0.05</v>
      </c>
      <c r="G14" s="29">
        <v>10</v>
      </c>
      <c r="H14" s="27" t="s">
        <v>173</v>
      </c>
      <c r="I14" s="27" t="s">
        <v>174</v>
      </c>
      <c r="J14" s="27" t="s">
        <v>175</v>
      </c>
      <c r="K14" s="27" t="s">
        <v>176</v>
      </c>
      <c r="L14" s="27" t="s">
        <v>177</v>
      </c>
      <c r="M14" s="29"/>
      <c r="N14" s="29"/>
      <c r="O14" s="29"/>
      <c r="P14" s="27" t="s">
        <v>101</v>
      </c>
      <c r="Q14" s="27">
        <v>3</v>
      </c>
      <c r="R14" s="14"/>
      <c r="S14" s="14"/>
      <c r="T14" s="30" t="str">
        <f t="shared" si="2"/>
        <v/>
      </c>
      <c r="U14" s="30" t="str">
        <f t="shared" si="3"/>
        <v/>
      </c>
      <c r="V14" s="8" t="str">
        <f t="shared" si="0"/>
        <v/>
      </c>
      <c r="W14" s="8" t="str">
        <f t="shared" si="4"/>
        <v/>
      </c>
      <c r="X14" s="8" t="str">
        <f t="shared" si="5"/>
        <v/>
      </c>
      <c r="Y14" s="8" t="str">
        <f t="shared" si="6"/>
        <v/>
      </c>
      <c r="Z14" s="8" t="str">
        <f t="shared" si="7"/>
        <v/>
      </c>
    </row>
    <row r="15" spans="1:26" ht="30">
      <c r="A15" s="27" t="s">
        <v>178</v>
      </c>
      <c r="B15" s="27" t="s">
        <v>179</v>
      </c>
      <c r="C15" s="27" t="s">
        <v>180</v>
      </c>
      <c r="D15" s="27" t="s">
        <v>181</v>
      </c>
      <c r="E15" s="27" t="s">
        <v>182</v>
      </c>
      <c r="F15" s="28">
        <v>0.25</v>
      </c>
      <c r="G15" s="29">
        <v>5</v>
      </c>
      <c r="H15" s="27" t="s">
        <v>183</v>
      </c>
      <c r="I15" s="27" t="s">
        <v>184</v>
      </c>
      <c r="J15" s="27" t="s">
        <v>185</v>
      </c>
      <c r="K15" s="27" t="s">
        <v>186</v>
      </c>
      <c r="L15" s="27" t="s">
        <v>187</v>
      </c>
      <c r="M15" s="29"/>
      <c r="N15" s="29"/>
      <c r="O15" s="29"/>
      <c r="P15" s="27" t="s">
        <v>101</v>
      </c>
      <c r="Q15" s="27">
        <v>5</v>
      </c>
      <c r="R15" s="14"/>
      <c r="S15" s="14"/>
      <c r="T15" s="30" t="str">
        <f t="shared" si="2"/>
        <v/>
      </c>
      <c r="U15" s="30" t="str">
        <f t="shared" si="3"/>
        <v/>
      </c>
      <c r="V15" s="8" t="str">
        <f t="shared" si="0"/>
        <v/>
      </c>
      <c r="W15" s="8" t="str">
        <f t="shared" si="4"/>
        <v/>
      </c>
      <c r="X15" s="8" t="str">
        <f t="shared" si="5"/>
        <v/>
      </c>
      <c r="Y15" s="8" t="str">
        <f t="shared" si="6"/>
        <v/>
      </c>
      <c r="Z15" s="8" t="str">
        <f t="shared" si="7"/>
        <v/>
      </c>
    </row>
    <row r="16" spans="1:26" ht="30">
      <c r="A16" s="27" t="s">
        <v>189</v>
      </c>
      <c r="B16" s="27" t="s">
        <v>190</v>
      </c>
      <c r="C16" s="27" t="s">
        <v>191</v>
      </c>
      <c r="D16" s="27" t="s">
        <v>192</v>
      </c>
      <c r="E16" s="27" t="s">
        <v>128</v>
      </c>
      <c r="F16" s="28">
        <v>1</v>
      </c>
      <c r="G16" s="29">
        <v>3</v>
      </c>
      <c r="H16" s="27" t="s">
        <v>193</v>
      </c>
      <c r="I16" s="27" t="s">
        <v>194</v>
      </c>
      <c r="J16" s="27" t="s">
        <v>195</v>
      </c>
      <c r="K16" s="27" t="s">
        <v>196</v>
      </c>
      <c r="L16" s="27" t="s">
        <v>197</v>
      </c>
      <c r="M16" s="29"/>
      <c r="N16" s="29"/>
      <c r="O16" s="29"/>
      <c r="P16" s="27" t="s">
        <v>101</v>
      </c>
      <c r="Q16" s="27">
        <v>5</v>
      </c>
      <c r="R16" s="14"/>
      <c r="S16" s="14"/>
      <c r="T16" s="30" t="str">
        <f t="shared" si="2"/>
        <v/>
      </c>
      <c r="U16" s="30" t="str">
        <f t="shared" si="3"/>
        <v/>
      </c>
      <c r="V16" s="8" t="str">
        <f t="shared" si="0"/>
        <v/>
      </c>
      <c r="W16" s="8" t="str">
        <f t="shared" si="4"/>
        <v/>
      </c>
      <c r="X16" s="8" t="str">
        <f t="shared" si="5"/>
        <v/>
      </c>
      <c r="Y16" s="8" t="str">
        <f t="shared" si="6"/>
        <v/>
      </c>
      <c r="Z16" s="8" t="str">
        <f t="shared" si="7"/>
        <v/>
      </c>
    </row>
    <row r="17" spans="1:26">
      <c r="A17" s="20">
        <v>1.2</v>
      </c>
      <c r="B17" s="20" t="s">
        <v>198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>
        <f>SUM(Q18:Q24)</f>
        <v>30</v>
      </c>
      <c r="R17" s="20"/>
      <c r="S17" s="20"/>
      <c r="T17" s="24">
        <f>SUM(T18:T24)</f>
        <v>0</v>
      </c>
      <c r="U17" s="24" t="str">
        <f>IF(COUNT(T18:T24)=0,"",ROUND(T17/Q17*100,2))</f>
        <v/>
      </c>
      <c r="V17" s="20" t="str">
        <f t="shared" si="0"/>
        <v/>
      </c>
      <c r="W17" s="20">
        <f t="shared" ref="W17:Z17" si="8">SUM(W18:W24)</f>
        <v>0</v>
      </c>
      <c r="X17" s="20">
        <f t="shared" si="8"/>
        <v>0</v>
      </c>
      <c r="Y17" s="20">
        <f t="shared" si="8"/>
        <v>0</v>
      </c>
      <c r="Z17" s="20">
        <f t="shared" si="8"/>
        <v>0</v>
      </c>
    </row>
    <row r="18" spans="1:26" ht="45">
      <c r="A18" s="27" t="s">
        <v>200</v>
      </c>
      <c r="B18" s="27" t="s">
        <v>201</v>
      </c>
      <c r="C18" s="27" t="s">
        <v>202</v>
      </c>
      <c r="D18" s="27" t="s">
        <v>203</v>
      </c>
      <c r="E18" s="27" t="s">
        <v>137</v>
      </c>
      <c r="F18" s="28">
        <v>1</v>
      </c>
      <c r="G18" s="29">
        <v>4</v>
      </c>
      <c r="H18" s="27" t="s">
        <v>204</v>
      </c>
      <c r="I18" s="27" t="s">
        <v>205</v>
      </c>
      <c r="J18" s="27" t="s">
        <v>206</v>
      </c>
      <c r="K18" s="27" t="s">
        <v>207</v>
      </c>
      <c r="L18" s="27" t="s">
        <v>208</v>
      </c>
      <c r="M18" s="29"/>
      <c r="N18" s="29"/>
      <c r="O18" s="29"/>
      <c r="P18" s="27" t="s">
        <v>101</v>
      </c>
      <c r="Q18" s="27">
        <v>5</v>
      </c>
      <c r="R18" s="14"/>
      <c r="S18" s="14"/>
      <c r="T18" s="30" t="str">
        <f t="shared" ref="T18:T24" si="9">IF(OR(S18="",R18="",R18=0),"",ROUND(Q18*MIN(S18/R18,1),2))</f>
        <v/>
      </c>
      <c r="U18" s="30" t="str">
        <f t="shared" ref="U18:U24" si="10">IF(T18="","",ROUND(T18/Q18*100,2))</f>
        <v/>
      </c>
      <c r="V18" s="8" t="str">
        <f t="shared" si="0"/>
        <v/>
      </c>
      <c r="W18" s="8" t="str">
        <f t="shared" ref="W18:W24" si="11">IF($V18="Y",1,"")</f>
        <v/>
      </c>
      <c r="X18" s="8" t="str">
        <f t="shared" ref="X18:X24" si="12">IF($V18="C",1,"")</f>
        <v/>
      </c>
      <c r="Y18" s="8" t="str">
        <f t="shared" ref="Y18:Y24" si="13">IF($V18="W",1,"")</f>
        <v/>
      </c>
      <c r="Z18" s="8" t="str">
        <f t="shared" ref="Z18:Z24" si="14">IF($V18="D",1,"")</f>
        <v/>
      </c>
    </row>
    <row r="19" spans="1:26" ht="30">
      <c r="A19" s="27" t="s">
        <v>212</v>
      </c>
      <c r="B19" s="27" t="s">
        <v>213</v>
      </c>
      <c r="C19" s="27" t="s">
        <v>214</v>
      </c>
      <c r="D19" s="27" t="s">
        <v>215</v>
      </c>
      <c r="E19" s="27" t="s">
        <v>216</v>
      </c>
      <c r="F19" s="28">
        <v>0.5</v>
      </c>
      <c r="G19" s="29">
        <v>3</v>
      </c>
      <c r="H19" s="27" t="s">
        <v>217</v>
      </c>
      <c r="I19" s="27" t="s">
        <v>218</v>
      </c>
      <c r="J19" s="27" t="s">
        <v>219</v>
      </c>
      <c r="K19" s="27" t="s">
        <v>220</v>
      </c>
      <c r="L19" s="27" t="s">
        <v>221</v>
      </c>
      <c r="M19" s="29"/>
      <c r="N19" s="29"/>
      <c r="O19" s="29"/>
      <c r="P19" s="27" t="s">
        <v>101</v>
      </c>
      <c r="Q19" s="27">
        <v>5</v>
      </c>
      <c r="R19" s="14"/>
      <c r="S19" s="14"/>
      <c r="T19" s="30" t="str">
        <f t="shared" si="9"/>
        <v/>
      </c>
      <c r="U19" s="30" t="str">
        <f t="shared" si="10"/>
        <v/>
      </c>
      <c r="V19" s="8" t="str">
        <f t="shared" si="0"/>
        <v/>
      </c>
      <c r="W19" s="8" t="str">
        <f t="shared" si="11"/>
        <v/>
      </c>
      <c r="X19" s="8" t="str">
        <f t="shared" si="12"/>
        <v/>
      </c>
      <c r="Y19" s="8" t="str">
        <f t="shared" si="13"/>
        <v/>
      </c>
      <c r="Z19" s="8" t="str">
        <f t="shared" si="14"/>
        <v/>
      </c>
    </row>
    <row r="20" spans="1:26" ht="30">
      <c r="A20" s="27" t="s">
        <v>222</v>
      </c>
      <c r="B20" s="27" t="s">
        <v>223</v>
      </c>
      <c r="C20" s="27" t="s">
        <v>224</v>
      </c>
      <c r="D20" s="27" t="s">
        <v>225</v>
      </c>
      <c r="E20" s="27" t="s">
        <v>226</v>
      </c>
      <c r="F20" s="28">
        <v>0.2</v>
      </c>
      <c r="G20" s="29">
        <v>5</v>
      </c>
      <c r="H20" s="27" t="s">
        <v>227</v>
      </c>
      <c r="I20" s="27" t="s">
        <v>228</v>
      </c>
      <c r="J20" s="27" t="s">
        <v>229</v>
      </c>
      <c r="K20" s="27" t="s">
        <v>230</v>
      </c>
      <c r="L20" s="27" t="s">
        <v>231</v>
      </c>
      <c r="M20" s="29"/>
      <c r="N20" s="29"/>
      <c r="O20" s="29"/>
      <c r="P20" s="27" t="s">
        <v>101</v>
      </c>
      <c r="Q20" s="27">
        <v>5</v>
      </c>
      <c r="R20" s="14"/>
      <c r="S20" s="14"/>
      <c r="T20" s="30" t="str">
        <f t="shared" si="9"/>
        <v/>
      </c>
      <c r="U20" s="30" t="str">
        <f t="shared" si="10"/>
        <v/>
      </c>
      <c r="V20" s="8" t="str">
        <f t="shared" si="0"/>
        <v/>
      </c>
      <c r="W20" s="8" t="str">
        <f t="shared" si="11"/>
        <v/>
      </c>
      <c r="X20" s="8" t="str">
        <f t="shared" si="12"/>
        <v/>
      </c>
      <c r="Y20" s="8" t="str">
        <f t="shared" si="13"/>
        <v/>
      </c>
      <c r="Z20" s="8" t="str">
        <f t="shared" si="14"/>
        <v/>
      </c>
    </row>
    <row r="21" spans="1:26" ht="15.75" customHeight="1">
      <c r="A21" s="27" t="s">
        <v>232</v>
      </c>
      <c r="B21" s="27" t="s">
        <v>233</v>
      </c>
      <c r="C21" s="27" t="s">
        <v>235</v>
      </c>
      <c r="D21" s="27" t="s">
        <v>236</v>
      </c>
      <c r="E21" s="27" t="s">
        <v>237</v>
      </c>
      <c r="F21" s="28">
        <v>1</v>
      </c>
      <c r="G21" s="29">
        <v>8</v>
      </c>
      <c r="H21" s="27" t="s">
        <v>238</v>
      </c>
      <c r="I21" s="27" t="s">
        <v>239</v>
      </c>
      <c r="J21" s="27" t="s">
        <v>240</v>
      </c>
      <c r="K21" s="27" t="s">
        <v>241</v>
      </c>
      <c r="L21" s="27" t="s">
        <v>242</v>
      </c>
      <c r="M21" s="29"/>
      <c r="N21" s="29"/>
      <c r="O21" s="29"/>
      <c r="P21" s="27" t="s">
        <v>101</v>
      </c>
      <c r="Q21" s="27">
        <v>5</v>
      </c>
      <c r="R21" s="14"/>
      <c r="S21" s="14"/>
      <c r="T21" s="30" t="str">
        <f t="shared" si="9"/>
        <v/>
      </c>
      <c r="U21" s="30" t="str">
        <f t="shared" si="10"/>
        <v/>
      </c>
      <c r="V21" s="8" t="str">
        <f t="shared" si="0"/>
        <v/>
      </c>
      <c r="W21" s="8" t="str">
        <f t="shared" si="11"/>
        <v/>
      </c>
      <c r="X21" s="8" t="str">
        <f t="shared" si="12"/>
        <v/>
      </c>
      <c r="Y21" s="8" t="str">
        <f t="shared" si="13"/>
        <v/>
      </c>
      <c r="Z21" s="8" t="str">
        <f t="shared" si="14"/>
        <v/>
      </c>
    </row>
    <row r="22" spans="1:26" ht="15.75" customHeight="1">
      <c r="A22" s="27" t="s">
        <v>243</v>
      </c>
      <c r="B22" s="27" t="s">
        <v>244</v>
      </c>
      <c r="C22" s="27" t="s">
        <v>245</v>
      </c>
      <c r="D22" s="27" t="s">
        <v>246</v>
      </c>
      <c r="E22" s="27" t="s">
        <v>247</v>
      </c>
      <c r="F22" s="28">
        <v>1</v>
      </c>
      <c r="G22" s="29">
        <v>7</v>
      </c>
      <c r="H22" s="27" t="s">
        <v>248</v>
      </c>
      <c r="I22" s="27" t="s">
        <v>249</v>
      </c>
      <c r="J22" s="27" t="s">
        <v>250</v>
      </c>
      <c r="K22" s="27" t="s">
        <v>251</v>
      </c>
      <c r="L22" s="27" t="s">
        <v>252</v>
      </c>
      <c r="M22" s="29"/>
      <c r="N22" s="29"/>
      <c r="O22" s="29"/>
      <c r="P22" s="27" t="s">
        <v>101</v>
      </c>
      <c r="Q22" s="27">
        <v>5</v>
      </c>
      <c r="R22" s="14"/>
      <c r="S22" s="14"/>
      <c r="T22" s="30" t="str">
        <f t="shared" si="9"/>
        <v/>
      </c>
      <c r="U22" s="30" t="str">
        <f t="shared" si="10"/>
        <v/>
      </c>
      <c r="V22" s="8" t="str">
        <f t="shared" si="0"/>
        <v/>
      </c>
      <c r="W22" s="8" t="str">
        <f t="shared" si="11"/>
        <v/>
      </c>
      <c r="X22" s="8" t="str">
        <f t="shared" si="12"/>
        <v/>
      </c>
      <c r="Y22" s="8" t="str">
        <f t="shared" si="13"/>
        <v/>
      </c>
      <c r="Z22" s="8" t="str">
        <f t="shared" si="14"/>
        <v/>
      </c>
    </row>
    <row r="23" spans="1:26" ht="15.75" customHeight="1">
      <c r="A23" s="27" t="s">
        <v>253</v>
      </c>
      <c r="B23" s="27" t="s">
        <v>254</v>
      </c>
      <c r="C23" s="27" t="s">
        <v>255</v>
      </c>
      <c r="D23" s="27" t="s">
        <v>256</v>
      </c>
      <c r="E23" s="27" t="s">
        <v>257</v>
      </c>
      <c r="F23" s="28">
        <v>1</v>
      </c>
      <c r="G23" s="29">
        <v>3</v>
      </c>
      <c r="H23" s="27" t="s">
        <v>258</v>
      </c>
      <c r="I23" s="27" t="s">
        <v>259</v>
      </c>
      <c r="J23" s="27" t="s">
        <v>260</v>
      </c>
      <c r="K23" s="27" t="s">
        <v>261</v>
      </c>
      <c r="L23" s="27" t="s">
        <v>262</v>
      </c>
      <c r="M23" s="29"/>
      <c r="N23" s="29"/>
      <c r="O23" s="29"/>
      <c r="P23" s="27" t="s">
        <v>263</v>
      </c>
      <c r="Q23" s="27">
        <v>2</v>
      </c>
      <c r="R23" s="14"/>
      <c r="S23" s="14"/>
      <c r="T23" s="30" t="str">
        <f t="shared" si="9"/>
        <v/>
      </c>
      <c r="U23" s="30" t="str">
        <f t="shared" si="10"/>
        <v/>
      </c>
      <c r="V23" s="8" t="str">
        <f t="shared" si="0"/>
        <v/>
      </c>
      <c r="W23" s="8" t="str">
        <f t="shared" si="11"/>
        <v/>
      </c>
      <c r="X23" s="8" t="str">
        <f t="shared" si="12"/>
        <v/>
      </c>
      <c r="Y23" s="8" t="str">
        <f t="shared" si="13"/>
        <v/>
      </c>
      <c r="Z23" s="8" t="str">
        <f t="shared" si="14"/>
        <v/>
      </c>
    </row>
    <row r="24" spans="1:26" ht="15.75" customHeight="1">
      <c r="A24" s="27" t="s">
        <v>264</v>
      </c>
      <c r="B24" s="27" t="s">
        <v>265</v>
      </c>
      <c r="C24" s="27" t="s">
        <v>266</v>
      </c>
      <c r="D24" s="27" t="s">
        <v>267</v>
      </c>
      <c r="E24" s="27" t="s">
        <v>172</v>
      </c>
      <c r="F24" s="28">
        <v>0.1</v>
      </c>
      <c r="G24" s="29">
        <v>10</v>
      </c>
      <c r="H24" s="27" t="s">
        <v>268</v>
      </c>
      <c r="I24" s="27" t="s">
        <v>269</v>
      </c>
      <c r="J24" s="27" t="s">
        <v>270</v>
      </c>
      <c r="K24" s="27" t="s">
        <v>271</v>
      </c>
      <c r="L24" s="27" t="s">
        <v>272</v>
      </c>
      <c r="M24" s="29"/>
      <c r="N24" s="29"/>
      <c r="O24" s="29"/>
      <c r="P24" s="27" t="s">
        <v>101</v>
      </c>
      <c r="Q24" s="27">
        <v>3</v>
      </c>
      <c r="R24" s="14"/>
      <c r="S24" s="14"/>
      <c r="T24" s="30" t="str">
        <f t="shared" si="9"/>
        <v/>
      </c>
      <c r="U24" s="30" t="str">
        <f t="shared" si="10"/>
        <v/>
      </c>
      <c r="V24" s="8" t="str">
        <f t="shared" si="0"/>
        <v/>
      </c>
      <c r="W24" s="8" t="str">
        <f t="shared" si="11"/>
        <v/>
      </c>
      <c r="X24" s="8" t="str">
        <f t="shared" si="12"/>
        <v/>
      </c>
      <c r="Y24" s="8" t="str">
        <f t="shared" si="13"/>
        <v/>
      </c>
      <c r="Z24" s="8" t="str">
        <f t="shared" si="14"/>
        <v/>
      </c>
    </row>
    <row r="25" spans="1:26" ht="15.75" customHeight="1">
      <c r="A25" s="20">
        <v>1.3</v>
      </c>
      <c r="B25" s="20" t="s">
        <v>274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>
        <f>SUM(Q26:Q28)</f>
        <v>20</v>
      </c>
      <c r="R25" s="20"/>
      <c r="S25" s="20"/>
      <c r="T25" s="24">
        <f>SUM(T26:T28)</f>
        <v>0</v>
      </c>
      <c r="U25" s="24" t="str">
        <f>IF(COUNT(T26:T28)=0,"",ROUND(T25/Q25*100,2))</f>
        <v/>
      </c>
      <c r="V25" s="20" t="str">
        <f t="shared" si="0"/>
        <v/>
      </c>
      <c r="W25" s="20">
        <f t="shared" ref="W25:Z25" si="15">SUM(W26:W28)</f>
        <v>0</v>
      </c>
      <c r="X25" s="20">
        <f t="shared" si="15"/>
        <v>0</v>
      </c>
      <c r="Y25" s="20">
        <f t="shared" si="15"/>
        <v>0</v>
      </c>
      <c r="Z25" s="20">
        <f t="shared" si="15"/>
        <v>0</v>
      </c>
    </row>
    <row r="26" spans="1:26" ht="15.75" customHeight="1">
      <c r="A26" s="27" t="s">
        <v>275</v>
      </c>
      <c r="B26" s="27" t="s">
        <v>276</v>
      </c>
      <c r="C26" s="27" t="s">
        <v>277</v>
      </c>
      <c r="D26" s="27" t="s">
        <v>278</v>
      </c>
      <c r="E26" s="27" t="s">
        <v>279</v>
      </c>
      <c r="F26" s="28">
        <v>1</v>
      </c>
      <c r="G26" s="29">
        <v>2</v>
      </c>
      <c r="H26" s="27" t="s">
        <v>280</v>
      </c>
      <c r="I26" s="27" t="s">
        <v>281</v>
      </c>
      <c r="J26" s="27" t="s">
        <v>282</v>
      </c>
      <c r="K26" s="27" t="s">
        <v>283</v>
      </c>
      <c r="L26" s="27" t="s">
        <v>284</v>
      </c>
      <c r="M26" s="29"/>
      <c r="N26" s="29"/>
      <c r="O26" s="29"/>
      <c r="P26" s="27" t="s">
        <v>101</v>
      </c>
      <c r="Q26" s="27">
        <v>5</v>
      </c>
      <c r="R26" s="14"/>
      <c r="S26" s="14"/>
      <c r="T26" s="30" t="str">
        <f t="shared" ref="T26:T28" si="16">IF(OR(S26="",R26="",R26=0),"",ROUND(Q26*MIN(S26/R26,1),2))</f>
        <v/>
      </c>
      <c r="U26" s="30" t="str">
        <f t="shared" ref="U26:U28" si="17">IF(T26="","",ROUND(T26/Q26*100,2))</f>
        <v/>
      </c>
      <c r="V26" s="8" t="str">
        <f t="shared" si="0"/>
        <v/>
      </c>
      <c r="W26" s="8" t="str">
        <f t="shared" ref="W26:W28" si="18">IF($V26="Y",1,"")</f>
        <v/>
      </c>
      <c r="X26" s="8" t="str">
        <f t="shared" ref="X26:X28" si="19">IF($V26="C",1,"")</f>
        <v/>
      </c>
      <c r="Y26" s="8" t="str">
        <f t="shared" ref="Y26:Y28" si="20">IF($V26="W",1,"")</f>
        <v/>
      </c>
      <c r="Z26" s="8" t="str">
        <f t="shared" ref="Z26:Z28" si="21">IF($V26="D",1,"")</f>
        <v/>
      </c>
    </row>
    <row r="27" spans="1:26" ht="15.75" customHeight="1">
      <c r="A27" s="27" t="s">
        <v>286</v>
      </c>
      <c r="B27" s="27" t="s">
        <v>287</v>
      </c>
      <c r="C27" s="27" t="s">
        <v>289</v>
      </c>
      <c r="D27" s="27" t="s">
        <v>290</v>
      </c>
      <c r="E27" s="27" t="s">
        <v>226</v>
      </c>
      <c r="F27" s="28">
        <v>0.2</v>
      </c>
      <c r="G27" s="29">
        <v>5</v>
      </c>
      <c r="H27" s="27" t="s">
        <v>291</v>
      </c>
      <c r="I27" s="27" t="s">
        <v>292</v>
      </c>
      <c r="J27" s="27" t="s">
        <v>293</v>
      </c>
      <c r="K27" s="27" t="s">
        <v>294</v>
      </c>
      <c r="L27" s="27" t="s">
        <v>295</v>
      </c>
      <c r="M27" s="29"/>
      <c r="N27" s="29"/>
      <c r="O27" s="29"/>
      <c r="P27" s="27" t="s">
        <v>101</v>
      </c>
      <c r="Q27" s="27">
        <v>8</v>
      </c>
      <c r="R27" s="14"/>
      <c r="S27" s="14"/>
      <c r="T27" s="30" t="str">
        <f t="shared" si="16"/>
        <v/>
      </c>
      <c r="U27" s="30" t="str">
        <f t="shared" si="17"/>
        <v/>
      </c>
      <c r="V27" s="8" t="str">
        <f t="shared" si="0"/>
        <v/>
      </c>
      <c r="W27" s="8" t="str">
        <f t="shared" si="18"/>
        <v/>
      </c>
      <c r="X27" s="8" t="str">
        <f t="shared" si="19"/>
        <v/>
      </c>
      <c r="Y27" s="8" t="str">
        <f t="shared" si="20"/>
        <v/>
      </c>
      <c r="Z27" s="8" t="str">
        <f t="shared" si="21"/>
        <v/>
      </c>
    </row>
    <row r="28" spans="1:26" ht="15.75" customHeight="1">
      <c r="A28" s="27" t="s">
        <v>296</v>
      </c>
      <c r="B28" s="27" t="s">
        <v>297</v>
      </c>
      <c r="C28" s="27" t="s">
        <v>298</v>
      </c>
      <c r="D28" s="27" t="s">
        <v>299</v>
      </c>
      <c r="E28" s="27" t="s">
        <v>300</v>
      </c>
      <c r="F28" s="28">
        <v>0.2</v>
      </c>
      <c r="G28" s="29">
        <v>5</v>
      </c>
      <c r="H28" s="27" t="s">
        <v>301</v>
      </c>
      <c r="I28" s="27" t="s">
        <v>302</v>
      </c>
      <c r="J28" s="27" t="s">
        <v>303</v>
      </c>
      <c r="K28" s="27" t="s">
        <v>304</v>
      </c>
      <c r="L28" s="27" t="s">
        <v>305</v>
      </c>
      <c r="M28" s="29"/>
      <c r="N28" s="29"/>
      <c r="O28" s="29"/>
      <c r="P28" s="27" t="s">
        <v>101</v>
      </c>
      <c r="Q28" s="27">
        <v>7</v>
      </c>
      <c r="R28" s="14"/>
      <c r="S28" s="14"/>
      <c r="T28" s="30" t="str">
        <f t="shared" si="16"/>
        <v/>
      </c>
      <c r="U28" s="30" t="str">
        <f t="shared" si="17"/>
        <v/>
      </c>
      <c r="V28" s="8" t="str">
        <f t="shared" si="0"/>
        <v/>
      </c>
      <c r="W28" s="8" t="str">
        <f t="shared" si="18"/>
        <v/>
      </c>
      <c r="X28" s="8" t="str">
        <f t="shared" si="19"/>
        <v/>
      </c>
      <c r="Y28" s="8" t="str">
        <f t="shared" si="20"/>
        <v/>
      </c>
      <c r="Z28" s="8" t="str">
        <f t="shared" si="21"/>
        <v/>
      </c>
    </row>
    <row r="29" spans="1:26" ht="15.75" customHeight="1">
      <c r="A29" s="20">
        <v>1.4</v>
      </c>
      <c r="B29" s="20" t="s">
        <v>307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f>SUM(Q30:Q34)</f>
        <v>30</v>
      </c>
      <c r="R29" s="20"/>
      <c r="S29" s="20"/>
      <c r="T29" s="24">
        <f>SUM(T30:T34)</f>
        <v>0</v>
      </c>
      <c r="U29" s="24" t="str">
        <f>IF(COUNT(T30:T34)=0,"",ROUND(T29/Q29*100,2))</f>
        <v/>
      </c>
      <c r="V29" s="20" t="str">
        <f t="shared" si="0"/>
        <v/>
      </c>
      <c r="W29" s="20">
        <f t="shared" ref="W29:Z29" si="22">SUM(W30:W34)</f>
        <v>0</v>
      </c>
      <c r="X29" s="20">
        <f t="shared" si="22"/>
        <v>0</v>
      </c>
      <c r="Y29" s="20">
        <f t="shared" si="22"/>
        <v>0</v>
      </c>
      <c r="Z29" s="20">
        <f t="shared" si="22"/>
        <v>0</v>
      </c>
    </row>
    <row r="30" spans="1:26" ht="15.75" customHeight="1">
      <c r="A30" s="27" t="s">
        <v>308</v>
      </c>
      <c r="B30" s="27" t="s">
        <v>309</v>
      </c>
      <c r="C30" s="27" t="s">
        <v>310</v>
      </c>
      <c r="D30" s="27" t="s">
        <v>311</v>
      </c>
      <c r="E30" s="27" t="s">
        <v>226</v>
      </c>
      <c r="F30" s="28">
        <v>0.2</v>
      </c>
      <c r="G30" s="29">
        <v>5</v>
      </c>
      <c r="H30" s="27" t="s">
        <v>312</v>
      </c>
      <c r="I30" s="27" t="s">
        <v>313</v>
      </c>
      <c r="J30" s="27" t="s">
        <v>314</v>
      </c>
      <c r="K30" s="27" t="s">
        <v>315</v>
      </c>
      <c r="L30" s="27" t="s">
        <v>295</v>
      </c>
      <c r="M30" s="29"/>
      <c r="N30" s="29"/>
      <c r="O30" s="29"/>
      <c r="P30" s="27" t="s">
        <v>101</v>
      </c>
      <c r="Q30" s="27">
        <v>5</v>
      </c>
      <c r="R30" s="14"/>
      <c r="S30" s="14"/>
      <c r="T30" s="30" t="str">
        <f t="shared" ref="T30:T34" si="23">IF(OR(S30="",R30="",R30=0),"",ROUND(Q30*MIN(S30/R30,1),2))</f>
        <v/>
      </c>
      <c r="U30" s="30" t="str">
        <f t="shared" ref="U30:U34" si="24">IF(T30="","",ROUND(T30/Q30*100,2))</f>
        <v/>
      </c>
      <c r="V30" s="8" t="str">
        <f t="shared" si="0"/>
        <v/>
      </c>
      <c r="W30" s="8" t="str">
        <f t="shared" ref="W30:W34" si="25">IF($V30="Y",1,"")</f>
        <v/>
      </c>
      <c r="X30" s="8" t="str">
        <f t="shared" ref="X30:X34" si="26">IF($V30="C",1,"")</f>
        <v/>
      </c>
      <c r="Y30" s="8" t="str">
        <f t="shared" ref="Y30:Y34" si="27">IF($V30="W",1,"")</f>
        <v/>
      </c>
      <c r="Z30" s="8" t="str">
        <f t="shared" ref="Z30:Z34" si="28">IF($V30="D",1,"")</f>
        <v/>
      </c>
    </row>
    <row r="31" spans="1:26" ht="15.75" customHeight="1">
      <c r="A31" s="27" t="s">
        <v>318</v>
      </c>
      <c r="B31" s="27" t="s">
        <v>319</v>
      </c>
      <c r="C31" s="27" t="s">
        <v>320</v>
      </c>
      <c r="D31" s="27" t="s">
        <v>321</v>
      </c>
      <c r="E31" s="27" t="s">
        <v>322</v>
      </c>
      <c r="F31" s="28">
        <v>0.1</v>
      </c>
      <c r="G31" s="29">
        <v>15</v>
      </c>
      <c r="H31" s="27" t="s">
        <v>323</v>
      </c>
      <c r="I31" s="27" t="s">
        <v>324</v>
      </c>
      <c r="J31" s="27" t="s">
        <v>325</v>
      </c>
      <c r="K31" s="27" t="s">
        <v>315</v>
      </c>
      <c r="L31" s="27" t="s">
        <v>326</v>
      </c>
      <c r="M31" s="29"/>
      <c r="N31" s="29"/>
      <c r="O31" s="29"/>
      <c r="P31" s="27" t="s">
        <v>101</v>
      </c>
      <c r="Q31" s="27">
        <v>5</v>
      </c>
      <c r="R31" s="14"/>
      <c r="S31" s="14"/>
      <c r="T31" s="30" t="str">
        <f t="shared" si="23"/>
        <v/>
      </c>
      <c r="U31" s="30" t="str">
        <f t="shared" si="24"/>
        <v/>
      </c>
      <c r="V31" s="8" t="str">
        <f t="shared" si="0"/>
        <v/>
      </c>
      <c r="W31" s="8" t="str">
        <f t="shared" si="25"/>
        <v/>
      </c>
      <c r="X31" s="8" t="str">
        <f t="shared" si="26"/>
        <v/>
      </c>
      <c r="Y31" s="8" t="str">
        <f t="shared" si="27"/>
        <v/>
      </c>
      <c r="Z31" s="8" t="str">
        <f t="shared" si="28"/>
        <v/>
      </c>
    </row>
    <row r="32" spans="1:26" ht="15.75" customHeight="1">
      <c r="A32" s="27" t="s">
        <v>327</v>
      </c>
      <c r="B32" s="27" t="s">
        <v>328</v>
      </c>
      <c r="C32" s="27" t="s">
        <v>329</v>
      </c>
      <c r="D32" s="27" t="s">
        <v>330</v>
      </c>
      <c r="E32" s="27" t="s">
        <v>226</v>
      </c>
      <c r="F32" s="28">
        <v>0.2</v>
      </c>
      <c r="G32" s="29">
        <v>5</v>
      </c>
      <c r="H32" s="27" t="s">
        <v>331</v>
      </c>
      <c r="I32" s="27" t="s">
        <v>332</v>
      </c>
      <c r="J32" s="27" t="s">
        <v>333</v>
      </c>
      <c r="K32" s="27" t="s">
        <v>315</v>
      </c>
      <c r="L32" s="27" t="s">
        <v>295</v>
      </c>
      <c r="M32" s="29"/>
      <c r="N32" s="29"/>
      <c r="O32" s="29"/>
      <c r="P32" s="27" t="s">
        <v>101</v>
      </c>
      <c r="Q32" s="27">
        <v>5</v>
      </c>
      <c r="R32" s="14"/>
      <c r="S32" s="14"/>
      <c r="T32" s="30" t="str">
        <f t="shared" si="23"/>
        <v/>
      </c>
      <c r="U32" s="30" t="str">
        <f t="shared" si="24"/>
        <v/>
      </c>
      <c r="V32" s="8" t="str">
        <f t="shared" si="0"/>
        <v/>
      </c>
      <c r="W32" s="8" t="str">
        <f t="shared" si="25"/>
        <v/>
      </c>
      <c r="X32" s="8" t="str">
        <f t="shared" si="26"/>
        <v/>
      </c>
      <c r="Y32" s="8" t="str">
        <f t="shared" si="27"/>
        <v/>
      </c>
      <c r="Z32" s="8" t="str">
        <f t="shared" si="28"/>
        <v/>
      </c>
    </row>
    <row r="33" spans="1:26" ht="15.75" customHeight="1">
      <c r="A33" s="27" t="s">
        <v>335</v>
      </c>
      <c r="B33" s="27" t="s">
        <v>336</v>
      </c>
      <c r="C33" s="27" t="s">
        <v>337</v>
      </c>
      <c r="D33" s="27" t="s">
        <v>338</v>
      </c>
      <c r="E33" s="27" t="s">
        <v>226</v>
      </c>
      <c r="F33" s="28">
        <v>0.2</v>
      </c>
      <c r="G33" s="29">
        <v>5</v>
      </c>
      <c r="H33" s="27" t="s">
        <v>339</v>
      </c>
      <c r="I33" s="27" t="s">
        <v>340</v>
      </c>
      <c r="J33" s="27" t="s">
        <v>341</v>
      </c>
      <c r="K33" s="27" t="s">
        <v>315</v>
      </c>
      <c r="L33" s="27" t="s">
        <v>295</v>
      </c>
      <c r="M33" s="29"/>
      <c r="N33" s="29"/>
      <c r="O33" s="29"/>
      <c r="P33" s="27" t="s">
        <v>101</v>
      </c>
      <c r="Q33" s="27">
        <v>8</v>
      </c>
      <c r="R33" s="14"/>
      <c r="S33" s="14"/>
      <c r="T33" s="30" t="str">
        <f t="shared" si="23"/>
        <v/>
      </c>
      <c r="U33" s="30" t="str">
        <f t="shared" si="24"/>
        <v/>
      </c>
      <c r="V33" s="8" t="str">
        <f t="shared" si="0"/>
        <v/>
      </c>
      <c r="W33" s="8" t="str">
        <f t="shared" si="25"/>
        <v/>
      </c>
      <c r="X33" s="8" t="str">
        <f t="shared" si="26"/>
        <v/>
      </c>
      <c r="Y33" s="8" t="str">
        <f t="shared" si="27"/>
        <v/>
      </c>
      <c r="Z33" s="8" t="str">
        <f t="shared" si="28"/>
        <v/>
      </c>
    </row>
    <row r="34" spans="1:26" ht="15.75" customHeight="1">
      <c r="A34" s="27" t="s">
        <v>342</v>
      </c>
      <c r="B34" s="27" t="s">
        <v>343</v>
      </c>
      <c r="C34" s="27" t="s">
        <v>344</v>
      </c>
      <c r="D34" s="27" t="s">
        <v>345</v>
      </c>
      <c r="E34" s="27" t="s">
        <v>346</v>
      </c>
      <c r="F34" s="28">
        <v>0.2</v>
      </c>
      <c r="G34" s="29">
        <v>5</v>
      </c>
      <c r="H34" s="27" t="s">
        <v>347</v>
      </c>
      <c r="I34" s="27" t="s">
        <v>348</v>
      </c>
      <c r="J34" s="27" t="s">
        <v>303</v>
      </c>
      <c r="K34" s="27" t="s">
        <v>349</v>
      </c>
      <c r="L34" s="27" t="s">
        <v>350</v>
      </c>
      <c r="M34" s="29"/>
      <c r="N34" s="29"/>
      <c r="O34" s="29"/>
      <c r="P34" s="27" t="s">
        <v>101</v>
      </c>
      <c r="Q34" s="27">
        <v>7</v>
      </c>
      <c r="R34" s="14"/>
      <c r="S34" s="14"/>
      <c r="T34" s="30" t="str">
        <f t="shared" si="23"/>
        <v/>
      </c>
      <c r="U34" s="30" t="str">
        <f t="shared" si="24"/>
        <v/>
      </c>
      <c r="V34" s="8" t="str">
        <f t="shared" si="0"/>
        <v/>
      </c>
      <c r="W34" s="8" t="str">
        <f t="shared" si="25"/>
        <v/>
      </c>
      <c r="X34" s="8" t="str">
        <f t="shared" si="26"/>
        <v/>
      </c>
      <c r="Y34" s="8" t="str">
        <f t="shared" si="27"/>
        <v/>
      </c>
      <c r="Z34" s="8" t="str">
        <f t="shared" si="28"/>
        <v/>
      </c>
    </row>
    <row r="35" spans="1:26" ht="15.75" customHeight="1">
      <c r="A35" s="20">
        <v>1.5</v>
      </c>
      <c r="B35" s="20" t="s">
        <v>352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>
        <f>SUM(Q36:Q37)</f>
        <v>5</v>
      </c>
      <c r="R35" s="20"/>
      <c r="S35" s="20"/>
      <c r="T35" s="24">
        <f>SUM(T36:T37)</f>
        <v>0</v>
      </c>
      <c r="U35" s="24" t="str">
        <f>IF(COUNT(T36:T37)=0,"",ROUND(T35/Q35*100,2))</f>
        <v/>
      </c>
      <c r="V35" s="20" t="str">
        <f t="shared" si="0"/>
        <v/>
      </c>
      <c r="W35" s="20">
        <f t="shared" ref="W35:Z35" si="29">SUM(W36:W37)</f>
        <v>0</v>
      </c>
      <c r="X35" s="20">
        <f t="shared" si="29"/>
        <v>0</v>
      </c>
      <c r="Y35" s="20">
        <f t="shared" si="29"/>
        <v>0</v>
      </c>
      <c r="Z35" s="20">
        <f t="shared" si="29"/>
        <v>0</v>
      </c>
    </row>
    <row r="36" spans="1:26" ht="15.75" customHeight="1">
      <c r="A36" s="27" t="s">
        <v>354</v>
      </c>
      <c r="B36" s="27" t="s">
        <v>355</v>
      </c>
      <c r="C36" s="27" t="s">
        <v>355</v>
      </c>
      <c r="D36" s="27" t="s">
        <v>356</v>
      </c>
      <c r="E36" s="27" t="s">
        <v>357</v>
      </c>
      <c r="F36" s="28">
        <v>0.5</v>
      </c>
      <c r="G36" s="29">
        <v>5</v>
      </c>
      <c r="H36" s="27" t="s">
        <v>358</v>
      </c>
      <c r="I36" s="27" t="s">
        <v>359</v>
      </c>
      <c r="J36" s="27" t="s">
        <v>360</v>
      </c>
      <c r="K36" s="27" t="s">
        <v>361</v>
      </c>
      <c r="L36" s="27" t="s">
        <v>362</v>
      </c>
      <c r="M36" s="29"/>
      <c r="N36" s="29"/>
      <c r="O36" s="29"/>
      <c r="P36" s="27" t="s">
        <v>101</v>
      </c>
      <c r="Q36" s="27">
        <v>3</v>
      </c>
      <c r="R36" s="14"/>
      <c r="S36" s="14"/>
      <c r="T36" s="30" t="str">
        <f t="shared" ref="T36:T37" si="30">IF(OR(S36="",R36="",R36=0),"",ROUND(Q36*MIN(S36/R36,1),2))</f>
        <v/>
      </c>
      <c r="U36" s="30" t="str">
        <f t="shared" ref="U36:U37" si="31">IF(T36="","",ROUND(T36/Q36*100,2))</f>
        <v/>
      </c>
      <c r="V36" s="8" t="str">
        <f t="shared" si="0"/>
        <v/>
      </c>
      <c r="W36" s="8" t="str">
        <f t="shared" ref="W36:W37" si="32">IF($V36="Y",1,"")</f>
        <v/>
      </c>
      <c r="X36" s="8" t="str">
        <f t="shared" ref="X36:X37" si="33">IF($V36="C",1,"")</f>
        <v/>
      </c>
      <c r="Y36" s="8" t="str">
        <f t="shared" ref="Y36:Y37" si="34">IF($V36="W",1,"")</f>
        <v/>
      </c>
      <c r="Z36" s="8" t="str">
        <f t="shared" ref="Z36:Z37" si="35">IF($V36="D",1,"")</f>
        <v/>
      </c>
    </row>
    <row r="37" spans="1:26" ht="15.75" customHeight="1">
      <c r="A37" s="27" t="s">
        <v>365</v>
      </c>
      <c r="B37" s="27" t="s">
        <v>366</v>
      </c>
      <c r="C37" s="27" t="s">
        <v>366</v>
      </c>
      <c r="D37" s="27" t="s">
        <v>367</v>
      </c>
      <c r="E37" s="27" t="s">
        <v>357</v>
      </c>
      <c r="F37" s="28">
        <v>1</v>
      </c>
      <c r="G37" s="29">
        <v>12</v>
      </c>
      <c r="H37" s="27" t="s">
        <v>368</v>
      </c>
      <c r="I37" s="27" t="s">
        <v>369</v>
      </c>
      <c r="J37" s="27" t="s">
        <v>370</v>
      </c>
      <c r="K37" s="27" t="s">
        <v>371</v>
      </c>
      <c r="L37" s="27" t="s">
        <v>372</v>
      </c>
      <c r="M37" s="29"/>
      <c r="N37" s="29"/>
      <c r="O37" s="29"/>
      <c r="P37" s="27" t="s">
        <v>101</v>
      </c>
      <c r="Q37" s="27">
        <v>2</v>
      </c>
      <c r="R37" s="14"/>
      <c r="S37" s="14"/>
      <c r="T37" s="30" t="str">
        <f t="shared" si="30"/>
        <v/>
      </c>
      <c r="U37" s="30" t="str">
        <f t="shared" si="31"/>
        <v/>
      </c>
      <c r="V37" s="8" t="str">
        <f t="shared" si="0"/>
        <v/>
      </c>
      <c r="W37" s="8" t="str">
        <f t="shared" si="32"/>
        <v/>
      </c>
      <c r="X37" s="8" t="str">
        <f t="shared" si="33"/>
        <v/>
      </c>
      <c r="Y37" s="8" t="str">
        <f t="shared" si="34"/>
        <v/>
      </c>
      <c r="Z37" s="8" t="str">
        <f t="shared" si="35"/>
        <v/>
      </c>
    </row>
    <row r="38" spans="1:26" ht="15.75" customHeight="1">
      <c r="A38" s="5" t="s">
        <v>54</v>
      </c>
      <c r="B38" s="5" t="s">
        <v>374</v>
      </c>
      <c r="P38" s="26"/>
      <c r="Q38" s="26">
        <f>Q8+Q17+Q25+Q29+Q35</f>
        <v>120</v>
      </c>
      <c r="R38" s="26"/>
      <c r="S38" s="26"/>
      <c r="T38" s="32">
        <f>T8+T17+T25+T29+T35</f>
        <v>0</v>
      </c>
      <c r="U38" s="32" t="str">
        <f>IF(T38=0,"",ROUND(T38/Q38*100,2))</f>
        <v/>
      </c>
      <c r="V38" s="26" t="str">
        <f t="shared" si="0"/>
        <v/>
      </c>
      <c r="W38" s="26">
        <f t="shared" ref="W38:Z38" si="36">W8+W17+W25+W29+W35</f>
        <v>0</v>
      </c>
      <c r="X38" s="26">
        <f t="shared" si="36"/>
        <v>0</v>
      </c>
      <c r="Y38" s="26">
        <f t="shared" si="36"/>
        <v>0</v>
      </c>
      <c r="Z38" s="26">
        <f t="shared" si="36"/>
        <v>0</v>
      </c>
    </row>
    <row r="39" spans="1:26" ht="15.75" customHeight="1">
      <c r="A39" s="5"/>
      <c r="B39" s="5"/>
      <c r="C39" s="5"/>
      <c r="D39" s="5"/>
      <c r="E39" s="5"/>
      <c r="F39" s="3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34"/>
      <c r="U39" s="34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3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34"/>
      <c r="U40" s="34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34"/>
      <c r="U41" s="34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3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34"/>
      <c r="U42" s="34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3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34"/>
      <c r="U43" s="34"/>
      <c r="V43" s="5"/>
      <c r="W43" s="5"/>
      <c r="X43" s="5"/>
      <c r="Y43" s="5"/>
      <c r="Z43" s="5"/>
    </row>
  </sheetData>
  <mergeCells count="4">
    <mergeCell ref="A2:L2"/>
    <mergeCell ref="A3:L3"/>
    <mergeCell ref="A4:L4"/>
    <mergeCell ref="A5:L5"/>
  </mergeCells>
  <conditionalFormatting sqref="V8:V38">
    <cfRule type="cellIs" dxfId="45" priority="1" stopIfTrue="1" operator="equal">
      <formula>0</formula>
    </cfRule>
    <cfRule type="cellIs" dxfId="44" priority="2" stopIfTrue="1" operator="equal">
      <formula>0</formula>
    </cfRule>
    <cfRule type="cellIs" dxfId="43" priority="3" stopIfTrue="1" operator="equal">
      <formula>0</formula>
    </cfRule>
    <cfRule type="cellIs" dxfId="42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377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378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 t="s">
        <v>380</v>
      </c>
      <c r="B8" s="20" t="s">
        <v>381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SUM(Q9:Q13)</f>
        <v>20</v>
      </c>
      <c r="R8" s="20"/>
      <c r="S8" s="20"/>
      <c r="T8" s="24">
        <f>SUM(T9:T13)</f>
        <v>2.67</v>
      </c>
      <c r="U8" s="24">
        <f>IF(COUNT(T9:T13)=0,"",ROUND(T8/Q8*100,2))</f>
        <v>13.35</v>
      </c>
      <c r="V8" s="20" t="str">
        <f t="shared" ref="V8:V47" si="0">IF(U8="","",IF(U8&gt;YT*100,"Y",IF(U8&gt;=CT*100,"C",IF(U8&gt;=WT*100,"W","D"))))</f>
        <v>D</v>
      </c>
      <c r="W8" s="20">
        <f t="shared" ref="W8:Z8" si="1">SUM(W9:W13)</f>
        <v>0</v>
      </c>
      <c r="X8" s="20">
        <f t="shared" si="1"/>
        <v>1</v>
      </c>
      <c r="Y8" s="20">
        <f t="shared" si="1"/>
        <v>0</v>
      </c>
      <c r="Z8" s="20">
        <f t="shared" si="1"/>
        <v>0</v>
      </c>
    </row>
    <row r="9" spans="1:26" ht="45">
      <c r="A9" s="27" t="s">
        <v>383</v>
      </c>
      <c r="B9" s="27" t="s">
        <v>384</v>
      </c>
      <c r="C9" s="27" t="s">
        <v>385</v>
      </c>
      <c r="D9" s="27" t="s">
        <v>386</v>
      </c>
      <c r="E9" s="27" t="s">
        <v>226</v>
      </c>
      <c r="F9" s="28">
        <v>0.25</v>
      </c>
      <c r="G9" s="29">
        <v>3</v>
      </c>
      <c r="H9" s="27" t="s">
        <v>388</v>
      </c>
      <c r="I9" s="27" t="s">
        <v>389</v>
      </c>
      <c r="J9" s="27" t="s">
        <v>390</v>
      </c>
      <c r="K9" s="27" t="s">
        <v>391</v>
      </c>
      <c r="L9" s="27" t="s">
        <v>392</v>
      </c>
      <c r="M9" s="29"/>
      <c r="N9" s="29"/>
      <c r="O9" s="29"/>
      <c r="P9" s="27" t="s">
        <v>101</v>
      </c>
      <c r="Q9" s="27">
        <v>4</v>
      </c>
      <c r="R9" s="14">
        <v>3</v>
      </c>
      <c r="S9" s="14">
        <v>2</v>
      </c>
      <c r="T9" s="30">
        <f t="shared" ref="T9:T13" si="2">IF(OR(S9="",R9="",R9=0),"",ROUND(Q9*MIN(S9/R9,1),2))</f>
        <v>2.67</v>
      </c>
      <c r="U9" s="30">
        <f t="shared" ref="U9:U13" si="3">IF(T9="","",ROUND(T9/Q9*100,2))</f>
        <v>66.75</v>
      </c>
      <c r="V9" s="8" t="str">
        <f t="shared" si="0"/>
        <v>C</v>
      </c>
      <c r="W9" s="8" t="str">
        <f t="shared" ref="W9:W13" si="4">IF($V9="Y",1,"")</f>
        <v/>
      </c>
      <c r="X9" s="8">
        <f t="shared" ref="X9:X13" si="5">IF($V9="C",1,"")</f>
        <v>1</v>
      </c>
      <c r="Y9" s="8" t="str">
        <f t="shared" ref="Y9:Y13" si="6">IF($V9="W",1,"")</f>
        <v/>
      </c>
      <c r="Z9" s="8" t="str">
        <f t="shared" ref="Z9:Z13" si="7">IF($V9="D",1,"")</f>
        <v/>
      </c>
    </row>
    <row r="10" spans="1:26" ht="45">
      <c r="A10" s="27" t="s">
        <v>395</v>
      </c>
      <c r="B10" s="27" t="s">
        <v>396</v>
      </c>
      <c r="C10" s="27" t="s">
        <v>397</v>
      </c>
      <c r="D10" s="27" t="s">
        <v>398</v>
      </c>
      <c r="E10" s="27" t="s">
        <v>226</v>
      </c>
      <c r="F10" s="28">
        <v>0.25</v>
      </c>
      <c r="G10" s="29">
        <v>3</v>
      </c>
      <c r="H10" s="27" t="s">
        <v>399</v>
      </c>
      <c r="I10" s="27" t="s">
        <v>400</v>
      </c>
      <c r="J10" s="27" t="s">
        <v>401</v>
      </c>
      <c r="K10" s="27" t="s">
        <v>402</v>
      </c>
      <c r="L10" s="27" t="s">
        <v>403</v>
      </c>
      <c r="M10" s="29"/>
      <c r="N10" s="29"/>
      <c r="O10" s="29"/>
      <c r="P10" s="27" t="s">
        <v>101</v>
      </c>
      <c r="Q10" s="27">
        <v>4</v>
      </c>
      <c r="R10" s="14"/>
      <c r="S10" s="14"/>
      <c r="T10" s="30" t="str">
        <f t="shared" si="2"/>
        <v/>
      </c>
      <c r="U10" s="30" t="str">
        <f t="shared" si="3"/>
        <v/>
      </c>
      <c r="V10" s="8" t="str">
        <f t="shared" si="0"/>
        <v/>
      </c>
      <c r="W10" s="8" t="str">
        <f t="shared" si="4"/>
        <v/>
      </c>
      <c r="X10" s="8" t="str">
        <f t="shared" si="5"/>
        <v/>
      </c>
      <c r="Y10" s="8" t="str">
        <f t="shared" si="6"/>
        <v/>
      </c>
      <c r="Z10" s="8" t="str">
        <f t="shared" si="7"/>
        <v/>
      </c>
    </row>
    <row r="11" spans="1:26" ht="45">
      <c r="A11" s="27" t="s">
        <v>405</v>
      </c>
      <c r="B11" s="27" t="s">
        <v>406</v>
      </c>
      <c r="C11" s="27" t="s">
        <v>407</v>
      </c>
      <c r="D11" s="27" t="s">
        <v>408</v>
      </c>
      <c r="E11" s="27" t="s">
        <v>409</v>
      </c>
      <c r="F11" s="28">
        <v>0.1</v>
      </c>
      <c r="G11" s="29">
        <v>4</v>
      </c>
      <c r="H11" s="27" t="s">
        <v>410</v>
      </c>
      <c r="I11" s="27" t="s">
        <v>411</v>
      </c>
      <c r="J11" s="27" t="s">
        <v>412</v>
      </c>
      <c r="K11" s="27" t="s">
        <v>413</v>
      </c>
      <c r="L11" s="27" t="s">
        <v>414</v>
      </c>
      <c r="M11" s="29"/>
      <c r="N11" s="29"/>
      <c r="O11" s="29"/>
      <c r="P11" s="27" t="s">
        <v>101</v>
      </c>
      <c r="Q11" s="27">
        <v>4</v>
      </c>
      <c r="R11" s="14"/>
      <c r="S11" s="14"/>
      <c r="T11" s="30" t="str">
        <f t="shared" si="2"/>
        <v/>
      </c>
      <c r="U11" s="30" t="str">
        <f t="shared" si="3"/>
        <v/>
      </c>
      <c r="V11" s="8" t="str">
        <f t="shared" si="0"/>
        <v/>
      </c>
      <c r="W11" s="8" t="str">
        <f t="shared" si="4"/>
        <v/>
      </c>
      <c r="X11" s="8" t="str">
        <f t="shared" si="5"/>
        <v/>
      </c>
      <c r="Y11" s="8" t="str">
        <f t="shared" si="6"/>
        <v/>
      </c>
      <c r="Z11" s="8" t="str">
        <f t="shared" si="7"/>
        <v/>
      </c>
    </row>
    <row r="12" spans="1:26" ht="45">
      <c r="A12" s="27" t="s">
        <v>415</v>
      </c>
      <c r="B12" s="27" t="s">
        <v>416</v>
      </c>
      <c r="C12" s="27" t="s">
        <v>417</v>
      </c>
      <c r="D12" s="27" t="s">
        <v>418</v>
      </c>
      <c r="E12" s="27" t="s">
        <v>226</v>
      </c>
      <c r="F12" s="28">
        <v>0.25</v>
      </c>
      <c r="G12" s="29">
        <v>3</v>
      </c>
      <c r="H12" s="27" t="s">
        <v>419</v>
      </c>
      <c r="I12" s="27" t="s">
        <v>420</v>
      </c>
      <c r="J12" s="27" t="s">
        <v>422</v>
      </c>
      <c r="K12" s="27" t="s">
        <v>423</v>
      </c>
      <c r="L12" s="27" t="s">
        <v>424</v>
      </c>
      <c r="M12" s="29"/>
      <c r="N12" s="29"/>
      <c r="O12" s="29"/>
      <c r="P12" s="27" t="s">
        <v>101</v>
      </c>
      <c r="Q12" s="27">
        <v>4</v>
      </c>
      <c r="R12" s="14"/>
      <c r="S12" s="14"/>
      <c r="T12" s="30" t="str">
        <f t="shared" si="2"/>
        <v/>
      </c>
      <c r="U12" s="30" t="str">
        <f t="shared" si="3"/>
        <v/>
      </c>
      <c r="V12" s="8" t="str">
        <f t="shared" si="0"/>
        <v/>
      </c>
      <c r="W12" s="8" t="str">
        <f t="shared" si="4"/>
        <v/>
      </c>
      <c r="X12" s="8" t="str">
        <f t="shared" si="5"/>
        <v/>
      </c>
      <c r="Y12" s="8" t="str">
        <f t="shared" si="6"/>
        <v/>
      </c>
      <c r="Z12" s="8" t="str">
        <f t="shared" si="7"/>
        <v/>
      </c>
    </row>
    <row r="13" spans="1:26" ht="45">
      <c r="A13" s="27" t="s">
        <v>425</v>
      </c>
      <c r="B13" s="27" t="s">
        <v>426</v>
      </c>
      <c r="C13" s="27" t="s">
        <v>426</v>
      </c>
      <c r="D13" s="27" t="s">
        <v>427</v>
      </c>
      <c r="E13" s="27" t="s">
        <v>226</v>
      </c>
      <c r="F13" s="28">
        <v>0.25</v>
      </c>
      <c r="G13" s="29">
        <v>3</v>
      </c>
      <c r="H13" s="27" t="s">
        <v>428</v>
      </c>
      <c r="I13" s="27" t="s">
        <v>429</v>
      </c>
      <c r="J13" s="27" t="s">
        <v>430</v>
      </c>
      <c r="K13" s="27" t="s">
        <v>431</v>
      </c>
      <c r="L13" s="27" t="s">
        <v>432</v>
      </c>
      <c r="M13" s="29"/>
      <c r="N13" s="29"/>
      <c r="O13" s="29"/>
      <c r="P13" s="27" t="s">
        <v>101</v>
      </c>
      <c r="Q13" s="27">
        <v>4</v>
      </c>
      <c r="R13" s="14"/>
      <c r="S13" s="14"/>
      <c r="T13" s="30" t="str">
        <f t="shared" si="2"/>
        <v/>
      </c>
      <c r="U13" s="30" t="str">
        <f t="shared" si="3"/>
        <v/>
      </c>
      <c r="V13" s="8" t="str">
        <f t="shared" si="0"/>
        <v/>
      </c>
      <c r="W13" s="8" t="str">
        <f t="shared" si="4"/>
        <v/>
      </c>
      <c r="X13" s="8" t="str">
        <f t="shared" si="5"/>
        <v/>
      </c>
      <c r="Y13" s="8" t="str">
        <f t="shared" si="6"/>
        <v/>
      </c>
      <c r="Z13" s="8" t="str">
        <f t="shared" si="7"/>
        <v/>
      </c>
    </row>
    <row r="14" spans="1:26">
      <c r="A14" s="20" t="s">
        <v>433</v>
      </c>
      <c r="B14" s="20" t="s">
        <v>434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>
        <f>SUM(Q15:Q19)</f>
        <v>25</v>
      </c>
      <c r="R14" s="20"/>
      <c r="S14" s="20"/>
      <c r="T14" s="24">
        <f>SUM(T15:T19)</f>
        <v>0</v>
      </c>
      <c r="U14" s="24" t="str">
        <f>IF(COUNT(T15:T19)=0,"",ROUND(T14/Q14*100,2))</f>
        <v/>
      </c>
      <c r="V14" s="20" t="str">
        <f t="shared" si="0"/>
        <v/>
      </c>
      <c r="W14" s="20">
        <f t="shared" ref="W14:Z14" si="8">SUM(W15:W19)</f>
        <v>0</v>
      </c>
      <c r="X14" s="20">
        <f t="shared" si="8"/>
        <v>0</v>
      </c>
      <c r="Y14" s="20">
        <f t="shared" si="8"/>
        <v>0</v>
      </c>
      <c r="Z14" s="20">
        <f t="shared" si="8"/>
        <v>0</v>
      </c>
    </row>
    <row r="15" spans="1:26" ht="30">
      <c r="A15" s="27" t="s">
        <v>436</v>
      </c>
      <c r="B15" s="27" t="s">
        <v>437</v>
      </c>
      <c r="C15" s="27" t="s">
        <v>437</v>
      </c>
      <c r="D15" s="27" t="s">
        <v>438</v>
      </c>
      <c r="E15" s="27" t="s">
        <v>439</v>
      </c>
      <c r="F15" s="28">
        <v>0.2</v>
      </c>
      <c r="G15" s="29">
        <v>5</v>
      </c>
      <c r="H15" s="27" t="s">
        <v>440</v>
      </c>
      <c r="I15" s="27" t="s">
        <v>441</v>
      </c>
      <c r="J15" s="27" t="s">
        <v>442</v>
      </c>
      <c r="K15" s="27" t="s">
        <v>443</v>
      </c>
      <c r="L15" s="27" t="s">
        <v>444</v>
      </c>
      <c r="M15" s="29"/>
      <c r="N15" s="29"/>
      <c r="O15" s="29"/>
      <c r="P15" s="27" t="s">
        <v>101</v>
      </c>
      <c r="Q15" s="27">
        <v>5</v>
      </c>
      <c r="R15" s="14"/>
      <c r="S15" s="14"/>
      <c r="T15" s="30" t="str">
        <f t="shared" ref="T15:T19" si="9">IF(OR(S15="",R15="",R15=0),"",ROUND(Q15*MIN(S15/R15,1),2))</f>
        <v/>
      </c>
      <c r="U15" s="30" t="str">
        <f t="shared" ref="U15:U19" si="10">IF(T15="","",ROUND(T15/Q15*100,2))</f>
        <v/>
      </c>
      <c r="V15" s="8" t="str">
        <f t="shared" si="0"/>
        <v/>
      </c>
      <c r="W15" s="8" t="str">
        <f t="shared" ref="W15:W19" si="11">IF($V15="Y",1,"")</f>
        <v/>
      </c>
      <c r="X15" s="8" t="str">
        <f t="shared" ref="X15:X19" si="12">IF($V15="C",1,"")</f>
        <v/>
      </c>
      <c r="Y15" s="8" t="str">
        <f t="shared" ref="Y15:Y19" si="13">IF($V15="W",1,"")</f>
        <v/>
      </c>
      <c r="Z15" s="8" t="str">
        <f t="shared" ref="Z15:Z19" si="14">IF($V15="D",1,"")</f>
        <v/>
      </c>
    </row>
    <row r="16" spans="1:26" ht="30">
      <c r="A16" s="27" t="s">
        <v>446</v>
      </c>
      <c r="B16" s="27" t="s">
        <v>447</v>
      </c>
      <c r="C16" s="27" t="s">
        <v>448</v>
      </c>
      <c r="D16" s="27" t="s">
        <v>449</v>
      </c>
      <c r="E16" s="27" t="s">
        <v>439</v>
      </c>
      <c r="F16" s="28">
        <v>0.2</v>
      </c>
      <c r="G16" s="29">
        <v>5</v>
      </c>
      <c r="H16" s="27" t="s">
        <v>450</v>
      </c>
      <c r="I16" s="27" t="s">
        <v>451</v>
      </c>
      <c r="J16" s="27" t="s">
        <v>452</v>
      </c>
      <c r="K16" s="27" t="s">
        <v>453</v>
      </c>
      <c r="L16" s="27" t="s">
        <v>454</v>
      </c>
      <c r="M16" s="29"/>
      <c r="N16" s="29"/>
      <c r="O16" s="29"/>
      <c r="P16" s="27" t="s">
        <v>101</v>
      </c>
      <c r="Q16" s="27">
        <v>5</v>
      </c>
      <c r="R16" s="14"/>
      <c r="S16" s="14"/>
      <c r="T16" s="30" t="str">
        <f t="shared" si="9"/>
        <v/>
      </c>
      <c r="U16" s="30" t="str">
        <f t="shared" si="10"/>
        <v/>
      </c>
      <c r="V16" s="8" t="str">
        <f t="shared" si="0"/>
        <v/>
      </c>
      <c r="W16" s="8" t="str">
        <f t="shared" si="11"/>
        <v/>
      </c>
      <c r="X16" s="8" t="str">
        <f t="shared" si="12"/>
        <v/>
      </c>
      <c r="Y16" s="8" t="str">
        <f t="shared" si="13"/>
        <v/>
      </c>
      <c r="Z16" s="8" t="str">
        <f t="shared" si="14"/>
        <v/>
      </c>
    </row>
    <row r="17" spans="1:26" ht="30">
      <c r="A17" s="27" t="s">
        <v>456</v>
      </c>
      <c r="B17" s="27" t="s">
        <v>457</v>
      </c>
      <c r="C17" s="27" t="s">
        <v>458</v>
      </c>
      <c r="D17" s="27" t="s">
        <v>459</v>
      </c>
      <c r="E17" s="27" t="s">
        <v>439</v>
      </c>
      <c r="F17" s="28">
        <v>0.2</v>
      </c>
      <c r="G17" s="29">
        <v>5</v>
      </c>
      <c r="H17" s="27" t="s">
        <v>460</v>
      </c>
      <c r="I17" s="27" t="s">
        <v>461</v>
      </c>
      <c r="J17" s="27" t="s">
        <v>462</v>
      </c>
      <c r="K17" s="27" t="s">
        <v>463</v>
      </c>
      <c r="L17" s="27" t="s">
        <v>464</v>
      </c>
      <c r="M17" s="29"/>
      <c r="N17" s="29"/>
      <c r="O17" s="29"/>
      <c r="P17" s="27" t="s">
        <v>101</v>
      </c>
      <c r="Q17" s="27">
        <v>5</v>
      </c>
      <c r="R17" s="14"/>
      <c r="S17" s="14"/>
      <c r="T17" s="30" t="str">
        <f t="shared" si="9"/>
        <v/>
      </c>
      <c r="U17" s="30" t="str">
        <f t="shared" si="10"/>
        <v/>
      </c>
      <c r="V17" s="8" t="str">
        <f t="shared" si="0"/>
        <v/>
      </c>
      <c r="W17" s="8" t="str">
        <f t="shared" si="11"/>
        <v/>
      </c>
      <c r="X17" s="8" t="str">
        <f t="shared" si="12"/>
        <v/>
      </c>
      <c r="Y17" s="8" t="str">
        <f t="shared" si="13"/>
        <v/>
      </c>
      <c r="Z17" s="8" t="str">
        <f t="shared" si="14"/>
        <v/>
      </c>
    </row>
    <row r="18" spans="1:26" ht="30">
      <c r="A18" s="27" t="s">
        <v>466</v>
      </c>
      <c r="B18" s="27" t="s">
        <v>467</v>
      </c>
      <c r="C18" s="27" t="s">
        <v>468</v>
      </c>
      <c r="D18" s="27" t="s">
        <v>469</v>
      </c>
      <c r="E18" s="27" t="s">
        <v>439</v>
      </c>
      <c r="F18" s="28">
        <v>0.2</v>
      </c>
      <c r="G18" s="29">
        <v>5</v>
      </c>
      <c r="H18" s="27" t="s">
        <v>470</v>
      </c>
      <c r="I18" s="27" t="s">
        <v>471</v>
      </c>
      <c r="J18" s="27" t="s">
        <v>472</v>
      </c>
      <c r="K18" s="27" t="s">
        <v>473</v>
      </c>
      <c r="L18" s="27" t="s">
        <v>474</v>
      </c>
      <c r="M18" s="29"/>
      <c r="N18" s="29"/>
      <c r="O18" s="29"/>
      <c r="P18" s="27" t="s">
        <v>101</v>
      </c>
      <c r="Q18" s="27">
        <v>5</v>
      </c>
      <c r="R18" s="14"/>
      <c r="S18" s="14"/>
      <c r="T18" s="30" t="str">
        <f t="shared" si="9"/>
        <v/>
      </c>
      <c r="U18" s="30" t="str">
        <f t="shared" si="10"/>
        <v/>
      </c>
      <c r="V18" s="8" t="str">
        <f t="shared" si="0"/>
        <v/>
      </c>
      <c r="W18" s="8" t="str">
        <f t="shared" si="11"/>
        <v/>
      </c>
      <c r="X18" s="8" t="str">
        <f t="shared" si="12"/>
        <v/>
      </c>
      <c r="Y18" s="8" t="str">
        <f t="shared" si="13"/>
        <v/>
      </c>
      <c r="Z18" s="8" t="str">
        <f t="shared" si="14"/>
        <v/>
      </c>
    </row>
    <row r="19" spans="1:26" ht="30">
      <c r="A19" s="27" t="s">
        <v>476</v>
      </c>
      <c r="B19" s="27" t="s">
        <v>477</v>
      </c>
      <c r="C19" s="27" t="s">
        <v>478</v>
      </c>
      <c r="D19" s="27" t="s">
        <v>479</v>
      </c>
      <c r="E19" s="27" t="s">
        <v>439</v>
      </c>
      <c r="F19" s="28">
        <v>0.2</v>
      </c>
      <c r="G19" s="29">
        <v>5</v>
      </c>
      <c r="H19" s="27" t="s">
        <v>480</v>
      </c>
      <c r="I19" s="27" t="s">
        <v>481</v>
      </c>
      <c r="J19" s="27" t="s">
        <v>482</v>
      </c>
      <c r="K19" s="27" t="s">
        <v>483</v>
      </c>
      <c r="L19" s="27" t="s">
        <v>484</v>
      </c>
      <c r="M19" s="29"/>
      <c r="N19" s="29"/>
      <c r="O19" s="29"/>
      <c r="P19" s="27" t="s">
        <v>101</v>
      </c>
      <c r="Q19" s="27">
        <v>5</v>
      </c>
      <c r="R19" s="14"/>
      <c r="S19" s="14"/>
      <c r="T19" s="30" t="str">
        <f t="shared" si="9"/>
        <v/>
      </c>
      <c r="U19" s="30" t="str">
        <f t="shared" si="10"/>
        <v/>
      </c>
      <c r="V19" s="8" t="str">
        <f t="shared" si="0"/>
        <v/>
      </c>
      <c r="W19" s="8" t="str">
        <f t="shared" si="11"/>
        <v/>
      </c>
      <c r="X19" s="8" t="str">
        <f t="shared" si="12"/>
        <v/>
      </c>
      <c r="Y19" s="8" t="str">
        <f t="shared" si="13"/>
        <v/>
      </c>
      <c r="Z19" s="8" t="str">
        <f t="shared" si="14"/>
        <v/>
      </c>
    </row>
    <row r="20" spans="1:26">
      <c r="A20" s="20" t="s">
        <v>485</v>
      </c>
      <c r="B20" s="20" t="s">
        <v>486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f>SUM(Q21:Q23)</f>
        <v>10</v>
      </c>
      <c r="R20" s="20"/>
      <c r="S20" s="20"/>
      <c r="T20" s="24">
        <f>SUM(T21:T23)</f>
        <v>1</v>
      </c>
      <c r="U20" s="24">
        <f>IF(COUNT(T21:T23)=0,"",ROUND(T20/Q20*100,2))</f>
        <v>10</v>
      </c>
      <c r="V20" s="20" t="str">
        <f t="shared" si="0"/>
        <v>D</v>
      </c>
      <c r="W20" s="20">
        <f t="shared" ref="W20:Z20" si="15">SUM(W21:W23)</f>
        <v>0</v>
      </c>
      <c r="X20" s="20">
        <f t="shared" si="15"/>
        <v>0</v>
      </c>
      <c r="Y20" s="20">
        <f t="shared" si="15"/>
        <v>1</v>
      </c>
      <c r="Z20" s="20">
        <f t="shared" si="15"/>
        <v>0</v>
      </c>
    </row>
    <row r="21" spans="1:26" ht="15.75" customHeight="1">
      <c r="A21" s="27" t="s">
        <v>489</v>
      </c>
      <c r="B21" s="27" t="s">
        <v>490</v>
      </c>
      <c r="C21" s="27" t="s">
        <v>490</v>
      </c>
      <c r="D21" s="27" t="s">
        <v>491</v>
      </c>
      <c r="E21" s="27" t="s">
        <v>172</v>
      </c>
      <c r="F21" s="28">
        <v>0.1</v>
      </c>
      <c r="G21" s="29">
        <v>10</v>
      </c>
      <c r="H21" s="27" t="s">
        <v>492</v>
      </c>
      <c r="I21" s="27" t="s">
        <v>493</v>
      </c>
      <c r="J21" s="27" t="s">
        <v>494</v>
      </c>
      <c r="K21" s="27" t="s">
        <v>495</v>
      </c>
      <c r="L21" s="27" t="s">
        <v>496</v>
      </c>
      <c r="M21" s="29"/>
      <c r="N21" s="29"/>
      <c r="O21" s="29"/>
      <c r="P21" s="27" t="s">
        <v>101</v>
      </c>
      <c r="Q21" s="27">
        <v>5</v>
      </c>
      <c r="R21" s="14"/>
      <c r="S21" s="14"/>
      <c r="T21" s="30" t="str">
        <f t="shared" ref="T21:T23" si="16">IF(OR(S21="",R21="",R21=0),"",ROUND(Q21*MIN(S21/R21,1),2))</f>
        <v/>
      </c>
      <c r="U21" s="30" t="str">
        <f t="shared" ref="U21:U23" si="17">IF(T21="","",ROUND(T21/Q21*100,2))</f>
        <v/>
      </c>
      <c r="V21" s="8" t="str">
        <f t="shared" si="0"/>
        <v/>
      </c>
      <c r="W21" s="8" t="str">
        <f t="shared" ref="W21:W23" si="18">IF($V21="Y",1,"")</f>
        <v/>
      </c>
      <c r="X21" s="8" t="str">
        <f t="shared" ref="X21:X23" si="19">IF($V21="C",1,"")</f>
        <v/>
      </c>
      <c r="Y21" s="8" t="str">
        <f t="shared" ref="Y21:Y23" si="20">IF($V21="W",1,"")</f>
        <v/>
      </c>
      <c r="Z21" s="8" t="str">
        <f t="shared" ref="Z21:Z23" si="21">IF($V21="D",1,"")</f>
        <v/>
      </c>
    </row>
    <row r="22" spans="1:26" ht="15.75" customHeight="1">
      <c r="A22" s="27" t="s">
        <v>497</v>
      </c>
      <c r="B22" s="27" t="s">
        <v>498</v>
      </c>
      <c r="C22" s="27" t="s">
        <v>498</v>
      </c>
      <c r="D22" s="27" t="s">
        <v>500</v>
      </c>
      <c r="E22" s="27" t="s">
        <v>501</v>
      </c>
      <c r="F22" s="28">
        <v>0.1</v>
      </c>
      <c r="G22" s="29">
        <v>10</v>
      </c>
      <c r="H22" s="27" t="s">
        <v>502</v>
      </c>
      <c r="I22" s="27" t="s">
        <v>503</v>
      </c>
      <c r="J22" s="27" t="s">
        <v>504</v>
      </c>
      <c r="K22" s="27" t="s">
        <v>505</v>
      </c>
      <c r="L22" s="27" t="s">
        <v>506</v>
      </c>
      <c r="M22" s="29"/>
      <c r="N22" s="29"/>
      <c r="O22" s="29"/>
      <c r="P22" s="27" t="s">
        <v>101</v>
      </c>
      <c r="Q22" s="27">
        <v>3</v>
      </c>
      <c r="R22" s="14"/>
      <c r="S22" s="14"/>
      <c r="T22" s="30" t="str">
        <f t="shared" si="16"/>
        <v/>
      </c>
      <c r="U22" s="30" t="str">
        <f t="shared" si="17"/>
        <v/>
      </c>
      <c r="V22" s="8" t="str">
        <f t="shared" si="0"/>
        <v/>
      </c>
      <c r="W22" s="8" t="str">
        <f t="shared" si="18"/>
        <v/>
      </c>
      <c r="X22" s="8" t="str">
        <f t="shared" si="19"/>
        <v/>
      </c>
      <c r="Y22" s="8" t="str">
        <f t="shared" si="20"/>
        <v/>
      </c>
      <c r="Z22" s="8" t="str">
        <f t="shared" si="21"/>
        <v/>
      </c>
    </row>
    <row r="23" spans="1:26" ht="15.75" customHeight="1">
      <c r="A23" s="27" t="s">
        <v>507</v>
      </c>
      <c r="B23" s="27" t="s">
        <v>508</v>
      </c>
      <c r="C23" s="27" t="s">
        <v>509</v>
      </c>
      <c r="D23" s="27" t="s">
        <v>510</v>
      </c>
      <c r="E23" s="27" t="s">
        <v>501</v>
      </c>
      <c r="F23" s="28">
        <v>0.1</v>
      </c>
      <c r="G23" s="29">
        <v>10</v>
      </c>
      <c r="H23" s="27" t="s">
        <v>511</v>
      </c>
      <c r="I23" s="27" t="s">
        <v>512</v>
      </c>
      <c r="J23" s="27" t="s">
        <v>513</v>
      </c>
      <c r="K23" s="27" t="s">
        <v>514</v>
      </c>
      <c r="L23" s="27" t="s">
        <v>515</v>
      </c>
      <c r="M23" s="29"/>
      <c r="N23" s="29"/>
      <c r="O23" s="29"/>
      <c r="P23" s="27" t="s">
        <v>101</v>
      </c>
      <c r="Q23" s="27">
        <v>2</v>
      </c>
      <c r="R23" s="14">
        <v>2</v>
      </c>
      <c r="S23" s="14">
        <v>1</v>
      </c>
      <c r="T23" s="30">
        <f t="shared" si="16"/>
        <v>1</v>
      </c>
      <c r="U23" s="30">
        <f t="shared" si="17"/>
        <v>50</v>
      </c>
      <c r="V23" s="8" t="str">
        <f t="shared" si="0"/>
        <v>W</v>
      </c>
      <c r="W23" s="8" t="str">
        <f t="shared" si="18"/>
        <v/>
      </c>
      <c r="X23" s="8" t="str">
        <f t="shared" si="19"/>
        <v/>
      </c>
      <c r="Y23" s="8">
        <f t="shared" si="20"/>
        <v>1</v>
      </c>
      <c r="Z23" s="8" t="str">
        <f t="shared" si="21"/>
        <v/>
      </c>
    </row>
    <row r="24" spans="1:26" ht="15.75" customHeight="1">
      <c r="A24" s="20" t="s">
        <v>517</v>
      </c>
      <c r="B24" s="20" t="s">
        <v>518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>
        <f>SUM(Q25:Q27)</f>
        <v>10</v>
      </c>
      <c r="R24" s="20"/>
      <c r="S24" s="20"/>
      <c r="T24" s="24">
        <f>SUM(T25:T27)</f>
        <v>0</v>
      </c>
      <c r="U24" s="24" t="str">
        <f>IF(COUNT(T25:T27)=0,"",ROUND(T24/Q24*100,2))</f>
        <v/>
      </c>
      <c r="V24" s="20" t="str">
        <f t="shared" si="0"/>
        <v/>
      </c>
      <c r="W24" s="20">
        <f t="shared" ref="W24:Z24" si="22">SUM(W25:W27)</f>
        <v>0</v>
      </c>
      <c r="X24" s="20">
        <f t="shared" si="22"/>
        <v>0</v>
      </c>
      <c r="Y24" s="20">
        <f t="shared" si="22"/>
        <v>0</v>
      </c>
      <c r="Z24" s="20">
        <f t="shared" si="22"/>
        <v>0</v>
      </c>
    </row>
    <row r="25" spans="1:26" ht="15.75" customHeight="1">
      <c r="A25" s="27" t="s">
        <v>520</v>
      </c>
      <c r="B25" s="27" t="s">
        <v>521</v>
      </c>
      <c r="C25" s="27" t="s">
        <v>521</v>
      </c>
      <c r="D25" s="27" t="s">
        <v>522</v>
      </c>
      <c r="E25" s="27" t="s">
        <v>172</v>
      </c>
      <c r="F25" s="28">
        <v>0.1</v>
      </c>
      <c r="G25" s="29">
        <v>10</v>
      </c>
      <c r="H25" s="27" t="s">
        <v>523</v>
      </c>
      <c r="I25" s="27" t="s">
        <v>524</v>
      </c>
      <c r="J25" s="27" t="s">
        <v>525</v>
      </c>
      <c r="K25" s="27" t="s">
        <v>526</v>
      </c>
      <c r="L25" s="27" t="s">
        <v>295</v>
      </c>
      <c r="M25" s="29"/>
      <c r="N25" s="29"/>
      <c r="O25" s="29"/>
      <c r="P25" s="27" t="s">
        <v>101</v>
      </c>
      <c r="Q25" s="27">
        <v>4</v>
      </c>
      <c r="R25" s="14"/>
      <c r="S25" s="14"/>
      <c r="T25" s="30" t="str">
        <f t="shared" ref="T25:T27" si="23">IF(OR(S25="",R25="",R25=0),"",ROUND(Q25*MIN(S25/R25,1),2))</f>
        <v/>
      </c>
      <c r="U25" s="30" t="str">
        <f t="shared" ref="U25:U27" si="24">IF(T25="","",ROUND(T25/Q25*100,2))</f>
        <v/>
      </c>
      <c r="V25" s="8" t="str">
        <f t="shared" si="0"/>
        <v/>
      </c>
      <c r="W25" s="8" t="str">
        <f t="shared" ref="W25:W27" si="25">IF($V25="Y",1,"")</f>
        <v/>
      </c>
      <c r="X25" s="8" t="str">
        <f t="shared" ref="X25:X27" si="26">IF($V25="C",1,"")</f>
        <v/>
      </c>
      <c r="Y25" s="8" t="str">
        <f t="shared" ref="Y25:Y27" si="27">IF($V25="W",1,"")</f>
        <v/>
      </c>
      <c r="Z25" s="8" t="str">
        <f t="shared" ref="Z25:Z27" si="28">IF($V25="D",1,"")</f>
        <v/>
      </c>
    </row>
    <row r="26" spans="1:26" ht="15.75" customHeight="1">
      <c r="A26" s="27" t="s">
        <v>531</v>
      </c>
      <c r="B26" s="27" t="s">
        <v>532</v>
      </c>
      <c r="C26" s="27" t="s">
        <v>532</v>
      </c>
      <c r="D26" s="27" t="s">
        <v>533</v>
      </c>
      <c r="E26" s="27" t="s">
        <v>172</v>
      </c>
      <c r="F26" s="28">
        <v>0.1</v>
      </c>
      <c r="G26" s="29">
        <v>10</v>
      </c>
      <c r="H26" s="27" t="s">
        <v>534</v>
      </c>
      <c r="I26" s="27" t="s">
        <v>535</v>
      </c>
      <c r="J26" s="27" t="s">
        <v>536</v>
      </c>
      <c r="K26" s="27" t="s">
        <v>537</v>
      </c>
      <c r="L26" s="27" t="s">
        <v>295</v>
      </c>
      <c r="M26" s="29"/>
      <c r="N26" s="29"/>
      <c r="O26" s="29"/>
      <c r="P26" s="27" t="s">
        <v>101</v>
      </c>
      <c r="Q26" s="27">
        <v>4</v>
      </c>
      <c r="R26" s="14"/>
      <c r="S26" s="14"/>
      <c r="T26" s="30" t="str">
        <f t="shared" si="23"/>
        <v/>
      </c>
      <c r="U26" s="30" t="str">
        <f t="shared" si="24"/>
        <v/>
      </c>
      <c r="V26" s="8" t="str">
        <f t="shared" si="0"/>
        <v/>
      </c>
      <c r="W26" s="8" t="str">
        <f t="shared" si="25"/>
        <v/>
      </c>
      <c r="X26" s="8" t="str">
        <f t="shared" si="26"/>
        <v/>
      </c>
      <c r="Y26" s="8" t="str">
        <f t="shared" si="27"/>
        <v/>
      </c>
      <c r="Z26" s="8" t="str">
        <f t="shared" si="28"/>
        <v/>
      </c>
    </row>
    <row r="27" spans="1:26" ht="15.75" customHeight="1">
      <c r="A27" s="27" t="s">
        <v>539</v>
      </c>
      <c r="B27" s="27" t="s">
        <v>540</v>
      </c>
      <c r="C27" s="27" t="s">
        <v>541</v>
      </c>
      <c r="D27" s="27" t="s">
        <v>542</v>
      </c>
      <c r="E27" s="27" t="s">
        <v>543</v>
      </c>
      <c r="F27" s="28">
        <v>0.2</v>
      </c>
      <c r="G27" s="29">
        <v>5</v>
      </c>
      <c r="H27" s="27" t="s">
        <v>544</v>
      </c>
      <c r="I27" s="27" t="s">
        <v>545</v>
      </c>
      <c r="J27" s="27" t="s">
        <v>546</v>
      </c>
      <c r="K27" s="27" t="s">
        <v>547</v>
      </c>
      <c r="L27" s="27" t="s">
        <v>548</v>
      </c>
      <c r="M27" s="29"/>
      <c r="N27" s="29"/>
      <c r="O27" s="29"/>
      <c r="P27" s="27" t="s">
        <v>101</v>
      </c>
      <c r="Q27" s="27">
        <v>2</v>
      </c>
      <c r="R27" s="14"/>
      <c r="S27" s="14"/>
      <c r="T27" s="30" t="str">
        <f t="shared" si="23"/>
        <v/>
      </c>
      <c r="U27" s="30" t="str">
        <f t="shared" si="24"/>
        <v/>
      </c>
      <c r="V27" s="8" t="str">
        <f t="shared" si="0"/>
        <v/>
      </c>
      <c r="W27" s="8" t="str">
        <f t="shared" si="25"/>
        <v/>
      </c>
      <c r="X27" s="8" t="str">
        <f t="shared" si="26"/>
        <v/>
      </c>
      <c r="Y27" s="8" t="str">
        <f t="shared" si="27"/>
        <v/>
      </c>
      <c r="Z27" s="8" t="str">
        <f t="shared" si="28"/>
        <v/>
      </c>
    </row>
    <row r="28" spans="1:26" ht="15.75" customHeight="1">
      <c r="A28" s="20" t="s">
        <v>527</v>
      </c>
      <c r="B28" s="20" t="s">
        <v>528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>SUM(Q29:Q31)</f>
        <v>10</v>
      </c>
      <c r="R28" s="20"/>
      <c r="S28" s="20"/>
      <c r="T28" s="24">
        <f>SUM(T29:T31)</f>
        <v>0</v>
      </c>
      <c r="U28" s="24" t="str">
        <f>IF(COUNT(T29:T31)=0,"",ROUND(T28/Q28*100,2))</f>
        <v/>
      </c>
      <c r="V28" s="20" t="str">
        <f t="shared" si="0"/>
        <v/>
      </c>
      <c r="W28" s="20">
        <f t="shared" ref="W28:Z28" si="29">SUM(W29:W31)</f>
        <v>0</v>
      </c>
      <c r="X28" s="20">
        <f t="shared" si="29"/>
        <v>0</v>
      </c>
      <c r="Y28" s="20">
        <f t="shared" si="29"/>
        <v>0</v>
      </c>
      <c r="Z28" s="20">
        <f t="shared" si="29"/>
        <v>0</v>
      </c>
    </row>
    <row r="29" spans="1:26" ht="15.75" customHeight="1">
      <c r="A29" s="27" t="s">
        <v>551</v>
      </c>
      <c r="B29" s="27" t="s">
        <v>552</v>
      </c>
      <c r="C29" s="27" t="s">
        <v>552</v>
      </c>
      <c r="D29" s="27" t="s">
        <v>553</v>
      </c>
      <c r="E29" s="27" t="s">
        <v>554</v>
      </c>
      <c r="F29" s="28">
        <v>0.25</v>
      </c>
      <c r="G29" s="29">
        <v>3</v>
      </c>
      <c r="H29" s="27" t="s">
        <v>555</v>
      </c>
      <c r="I29" s="27" t="s">
        <v>556</v>
      </c>
      <c r="J29" s="27" t="s">
        <v>557</v>
      </c>
      <c r="K29" s="27" t="s">
        <v>558</v>
      </c>
      <c r="L29" s="27" t="s">
        <v>484</v>
      </c>
      <c r="M29" s="29"/>
      <c r="N29" s="29"/>
      <c r="O29" s="29"/>
      <c r="P29" s="27" t="s">
        <v>101</v>
      </c>
      <c r="Q29" s="27">
        <v>4</v>
      </c>
      <c r="R29" s="14"/>
      <c r="S29" s="14"/>
      <c r="T29" s="30" t="str">
        <f t="shared" ref="T29:T31" si="30">IF(OR(S29="",R29="",R29=0),"",ROUND(Q29*MIN(S29/R29,1),2))</f>
        <v/>
      </c>
      <c r="U29" s="30" t="str">
        <f t="shared" ref="U29:U31" si="31">IF(T29="","",ROUND(T29/Q29*100,2))</f>
        <v/>
      </c>
      <c r="V29" s="8" t="str">
        <f t="shared" si="0"/>
        <v/>
      </c>
      <c r="W29" s="8" t="str">
        <f t="shared" ref="W29:W31" si="32">IF($V29="Y",1,"")</f>
        <v/>
      </c>
      <c r="X29" s="8" t="str">
        <f t="shared" ref="X29:X31" si="33">IF($V29="C",1,"")</f>
        <v/>
      </c>
      <c r="Y29" s="8" t="str">
        <f t="shared" ref="Y29:Y31" si="34">IF($V29="W",1,"")</f>
        <v/>
      </c>
      <c r="Z29" s="8" t="str">
        <f t="shared" ref="Z29:Z31" si="35">IF($V29="D",1,"")</f>
        <v/>
      </c>
    </row>
    <row r="30" spans="1:26" ht="15.75" customHeight="1">
      <c r="A30" s="27" t="s">
        <v>563</v>
      </c>
      <c r="B30" s="27" t="s">
        <v>564</v>
      </c>
      <c r="C30" s="27" t="s">
        <v>564</v>
      </c>
      <c r="D30" s="27" t="s">
        <v>565</v>
      </c>
      <c r="E30" s="27" t="s">
        <v>554</v>
      </c>
      <c r="F30" s="28">
        <v>0.25</v>
      </c>
      <c r="G30" s="29">
        <v>3</v>
      </c>
      <c r="H30" s="27" t="s">
        <v>566</v>
      </c>
      <c r="I30" s="27" t="s">
        <v>567</v>
      </c>
      <c r="J30" s="27" t="s">
        <v>568</v>
      </c>
      <c r="K30" s="27" t="s">
        <v>569</v>
      </c>
      <c r="L30" s="27" t="s">
        <v>484</v>
      </c>
      <c r="M30" s="29"/>
      <c r="N30" s="29"/>
      <c r="O30" s="29"/>
      <c r="P30" s="27" t="s">
        <v>101</v>
      </c>
      <c r="Q30" s="27">
        <v>3</v>
      </c>
      <c r="R30" s="14"/>
      <c r="S30" s="14"/>
      <c r="T30" s="30" t="str">
        <f t="shared" si="30"/>
        <v/>
      </c>
      <c r="U30" s="30" t="str">
        <f t="shared" si="31"/>
        <v/>
      </c>
      <c r="V30" s="8" t="str">
        <f t="shared" si="0"/>
        <v/>
      </c>
      <c r="W30" s="8" t="str">
        <f t="shared" si="32"/>
        <v/>
      </c>
      <c r="X30" s="8" t="str">
        <f t="shared" si="33"/>
        <v/>
      </c>
      <c r="Y30" s="8" t="str">
        <f t="shared" si="34"/>
        <v/>
      </c>
      <c r="Z30" s="8" t="str">
        <f t="shared" si="35"/>
        <v/>
      </c>
    </row>
    <row r="31" spans="1:26" ht="15.75" customHeight="1">
      <c r="A31" s="27" t="s">
        <v>572</v>
      </c>
      <c r="B31" s="27" t="s">
        <v>573</v>
      </c>
      <c r="C31" s="27" t="s">
        <v>573</v>
      </c>
      <c r="D31" s="27" t="s">
        <v>574</v>
      </c>
      <c r="E31" s="27" t="s">
        <v>575</v>
      </c>
      <c r="F31" s="28">
        <v>1</v>
      </c>
      <c r="G31" s="29">
        <v>5</v>
      </c>
      <c r="H31" s="27" t="s">
        <v>576</v>
      </c>
      <c r="I31" s="27" t="s">
        <v>577</v>
      </c>
      <c r="J31" s="27" t="s">
        <v>578</v>
      </c>
      <c r="K31" s="27" t="s">
        <v>261</v>
      </c>
      <c r="L31" s="27" t="s">
        <v>579</v>
      </c>
      <c r="M31" s="29"/>
      <c r="N31" s="29"/>
      <c r="O31" s="29"/>
      <c r="P31" s="27" t="s">
        <v>263</v>
      </c>
      <c r="Q31" s="27">
        <v>3</v>
      </c>
      <c r="R31" s="14"/>
      <c r="S31" s="14"/>
      <c r="T31" s="30" t="str">
        <f t="shared" si="30"/>
        <v/>
      </c>
      <c r="U31" s="30" t="str">
        <f t="shared" si="31"/>
        <v/>
      </c>
      <c r="V31" s="8" t="str">
        <f t="shared" si="0"/>
        <v/>
      </c>
      <c r="W31" s="8" t="str">
        <f t="shared" si="32"/>
        <v/>
      </c>
      <c r="X31" s="8" t="str">
        <f t="shared" si="33"/>
        <v/>
      </c>
      <c r="Y31" s="8" t="str">
        <f t="shared" si="34"/>
        <v/>
      </c>
      <c r="Z31" s="8" t="str">
        <f t="shared" si="35"/>
        <v/>
      </c>
    </row>
    <row r="32" spans="1:26" ht="15.75" customHeight="1">
      <c r="A32" s="20" t="s">
        <v>538</v>
      </c>
      <c r="B32" s="20" t="s">
        <v>580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>
        <f>SUM(Q33:Q35)</f>
        <v>10</v>
      </c>
      <c r="R32" s="20"/>
      <c r="S32" s="20"/>
      <c r="T32" s="24">
        <f>SUM(T33:T35)</f>
        <v>0</v>
      </c>
      <c r="U32" s="24" t="str">
        <f>IF(COUNT(T33:T35)=0,"",ROUND(T32/Q32*100,2))</f>
        <v/>
      </c>
      <c r="V32" s="20" t="str">
        <f t="shared" si="0"/>
        <v/>
      </c>
      <c r="W32" s="20">
        <f t="shared" ref="W32:Z32" si="36">SUM(W33:W35)</f>
        <v>0</v>
      </c>
      <c r="X32" s="20">
        <f t="shared" si="36"/>
        <v>0</v>
      </c>
      <c r="Y32" s="20">
        <f t="shared" si="36"/>
        <v>0</v>
      </c>
      <c r="Z32" s="20">
        <f t="shared" si="36"/>
        <v>0</v>
      </c>
    </row>
    <row r="33" spans="1:26" ht="15.75" customHeight="1">
      <c r="A33" s="27" t="s">
        <v>592</v>
      </c>
      <c r="B33" s="27" t="s">
        <v>593</v>
      </c>
      <c r="C33" s="27" t="s">
        <v>593</v>
      </c>
      <c r="D33" s="27" t="s">
        <v>594</v>
      </c>
      <c r="E33" s="27" t="s">
        <v>172</v>
      </c>
      <c r="F33" s="28">
        <v>0.1</v>
      </c>
      <c r="G33" s="29">
        <v>10</v>
      </c>
      <c r="H33" s="27" t="s">
        <v>595</v>
      </c>
      <c r="I33" s="27" t="s">
        <v>596</v>
      </c>
      <c r="J33" s="27" t="s">
        <v>513</v>
      </c>
      <c r="K33" s="27" t="s">
        <v>597</v>
      </c>
      <c r="L33" s="27" t="s">
        <v>598</v>
      </c>
      <c r="M33" s="29"/>
      <c r="N33" s="29"/>
      <c r="O33" s="29"/>
      <c r="P33" s="27" t="s">
        <v>101</v>
      </c>
      <c r="Q33" s="27">
        <v>5</v>
      </c>
      <c r="R33" s="14"/>
      <c r="S33" s="14"/>
      <c r="T33" s="30" t="str">
        <f t="shared" ref="T33:T35" si="37">IF(OR(S33="",R33="",R33=0),"",ROUND(Q33*MIN(S33/R33,1),2))</f>
        <v/>
      </c>
      <c r="U33" s="30" t="str">
        <f t="shared" ref="U33:U35" si="38">IF(T33="","",ROUND(T33/Q33*100,2))</f>
        <v/>
      </c>
      <c r="V33" s="8" t="str">
        <f t="shared" si="0"/>
        <v/>
      </c>
      <c r="W33" s="8" t="str">
        <f t="shared" ref="W33:W35" si="39">IF($V33="Y",1,"")</f>
        <v/>
      </c>
      <c r="X33" s="8" t="str">
        <f t="shared" ref="X33:X35" si="40">IF($V33="C",1,"")</f>
        <v/>
      </c>
      <c r="Y33" s="8" t="str">
        <f t="shared" ref="Y33:Y35" si="41">IF($V33="W",1,"")</f>
        <v/>
      </c>
      <c r="Z33" s="8" t="str">
        <f t="shared" ref="Z33:Z35" si="42">IF($V33="D",1,"")</f>
        <v/>
      </c>
    </row>
    <row r="34" spans="1:26" ht="15.75" customHeight="1">
      <c r="A34" s="27" t="s">
        <v>609</v>
      </c>
      <c r="B34" s="27" t="s">
        <v>610</v>
      </c>
      <c r="C34" s="27" t="s">
        <v>610</v>
      </c>
      <c r="D34" s="27" t="s">
        <v>611</v>
      </c>
      <c r="E34" s="27" t="s">
        <v>172</v>
      </c>
      <c r="F34" s="28">
        <v>0.2</v>
      </c>
      <c r="G34" s="29">
        <v>5</v>
      </c>
      <c r="H34" s="27" t="s">
        <v>612</v>
      </c>
      <c r="I34" s="27" t="s">
        <v>613</v>
      </c>
      <c r="J34" s="27" t="s">
        <v>614</v>
      </c>
      <c r="K34" s="27" t="s">
        <v>615</v>
      </c>
      <c r="L34" s="27" t="s">
        <v>484</v>
      </c>
      <c r="M34" s="29"/>
      <c r="N34" s="29"/>
      <c r="O34" s="29"/>
      <c r="P34" s="27" t="s">
        <v>101</v>
      </c>
      <c r="Q34" s="27">
        <v>2</v>
      </c>
      <c r="R34" s="14"/>
      <c r="S34" s="14"/>
      <c r="T34" s="30" t="str">
        <f t="shared" si="37"/>
        <v/>
      </c>
      <c r="U34" s="30" t="str">
        <f t="shared" si="38"/>
        <v/>
      </c>
      <c r="V34" s="8" t="str">
        <f t="shared" si="0"/>
        <v/>
      </c>
      <c r="W34" s="8" t="str">
        <f t="shared" si="39"/>
        <v/>
      </c>
      <c r="X34" s="8" t="str">
        <f t="shared" si="40"/>
        <v/>
      </c>
      <c r="Y34" s="8" t="str">
        <f t="shared" si="41"/>
        <v/>
      </c>
      <c r="Z34" s="8" t="str">
        <f t="shared" si="42"/>
        <v/>
      </c>
    </row>
    <row r="35" spans="1:26" ht="15.75" customHeight="1">
      <c r="A35" s="27" t="s">
        <v>625</v>
      </c>
      <c r="B35" s="27" t="s">
        <v>626</v>
      </c>
      <c r="C35" s="27" t="s">
        <v>627</v>
      </c>
      <c r="D35" s="27" t="s">
        <v>628</v>
      </c>
      <c r="E35" s="27" t="s">
        <v>629</v>
      </c>
      <c r="F35" s="28">
        <v>0.2</v>
      </c>
      <c r="G35" s="29">
        <v>5</v>
      </c>
      <c r="H35" s="27" t="s">
        <v>630</v>
      </c>
      <c r="I35" s="27" t="s">
        <v>631</v>
      </c>
      <c r="J35" s="27" t="s">
        <v>513</v>
      </c>
      <c r="K35" s="27" t="s">
        <v>514</v>
      </c>
      <c r="L35" s="27" t="s">
        <v>515</v>
      </c>
      <c r="M35" s="29"/>
      <c r="N35" s="29"/>
      <c r="O35" s="29"/>
      <c r="P35" s="27" t="s">
        <v>101</v>
      </c>
      <c r="Q35" s="27">
        <v>3</v>
      </c>
      <c r="R35" s="14"/>
      <c r="S35" s="14"/>
      <c r="T35" s="30" t="str">
        <f t="shared" si="37"/>
        <v/>
      </c>
      <c r="U35" s="30" t="str">
        <f t="shared" si="38"/>
        <v/>
      </c>
      <c r="V35" s="8" t="str">
        <f t="shared" si="0"/>
        <v/>
      </c>
      <c r="W35" s="8" t="str">
        <f t="shared" si="39"/>
        <v/>
      </c>
      <c r="X35" s="8" t="str">
        <f t="shared" si="40"/>
        <v/>
      </c>
      <c r="Y35" s="8" t="str">
        <f t="shared" si="41"/>
        <v/>
      </c>
      <c r="Z35" s="8" t="str">
        <f t="shared" si="42"/>
        <v/>
      </c>
    </row>
    <row r="36" spans="1:26" ht="15.75" customHeight="1">
      <c r="A36" s="20" t="s">
        <v>550</v>
      </c>
      <c r="B36" s="20" t="s">
        <v>634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>
        <f>SUM(Q37:Q40)</f>
        <v>20</v>
      </c>
      <c r="R36" s="20"/>
      <c r="S36" s="20"/>
      <c r="T36" s="24">
        <f>SUM(T37:T40)</f>
        <v>0</v>
      </c>
      <c r="U36" s="24" t="str">
        <f>IF(COUNT(T37:T40)=0,"",ROUND(T36/Q36*100,2))</f>
        <v/>
      </c>
      <c r="V36" s="20" t="str">
        <f t="shared" si="0"/>
        <v/>
      </c>
      <c r="W36" s="20">
        <f t="shared" ref="W36:Z36" si="43">SUM(W37:W40)</f>
        <v>0</v>
      </c>
      <c r="X36" s="20">
        <f t="shared" si="43"/>
        <v>0</v>
      </c>
      <c r="Y36" s="20">
        <f t="shared" si="43"/>
        <v>0</v>
      </c>
      <c r="Z36" s="20">
        <f t="shared" si="43"/>
        <v>0</v>
      </c>
    </row>
    <row r="37" spans="1:26" ht="15.75" customHeight="1">
      <c r="A37" s="27" t="s">
        <v>640</v>
      </c>
      <c r="B37" s="27" t="s">
        <v>642</v>
      </c>
      <c r="C37" s="27" t="s">
        <v>644</v>
      </c>
      <c r="D37" s="27" t="s">
        <v>646</v>
      </c>
      <c r="E37" s="27" t="s">
        <v>226</v>
      </c>
      <c r="F37" s="28">
        <v>0.25</v>
      </c>
      <c r="G37" s="29">
        <v>3</v>
      </c>
      <c r="H37" s="27" t="s">
        <v>648</v>
      </c>
      <c r="I37" s="27" t="s">
        <v>649</v>
      </c>
      <c r="J37" s="27" t="s">
        <v>651</v>
      </c>
      <c r="K37" s="27" t="s">
        <v>652</v>
      </c>
      <c r="L37" s="27" t="s">
        <v>484</v>
      </c>
      <c r="M37" s="29"/>
      <c r="N37" s="29"/>
      <c r="O37" s="29"/>
      <c r="P37" s="27" t="s">
        <v>101</v>
      </c>
      <c r="Q37" s="27">
        <v>6</v>
      </c>
      <c r="R37" s="14"/>
      <c r="S37" s="14"/>
      <c r="T37" s="30" t="str">
        <f t="shared" ref="T37:T40" si="44">IF(OR(S37="",R37="",R37=0),"",ROUND(Q37*MIN(S37/R37,1),2))</f>
        <v/>
      </c>
      <c r="U37" s="30" t="str">
        <f t="shared" ref="U37:U40" si="45">IF(T37="","",ROUND(T37/Q37*100,2))</f>
        <v/>
      </c>
      <c r="V37" s="8" t="str">
        <f t="shared" si="0"/>
        <v/>
      </c>
      <c r="W37" s="8" t="str">
        <f t="shared" ref="W37:W40" si="46">IF($V37="Y",1,"")</f>
        <v/>
      </c>
      <c r="X37" s="8" t="str">
        <f t="shared" ref="X37:X40" si="47">IF($V37="C",1,"")</f>
        <v/>
      </c>
      <c r="Y37" s="8" t="str">
        <f t="shared" ref="Y37:Y40" si="48">IF($V37="W",1,"")</f>
        <v/>
      </c>
      <c r="Z37" s="8" t="str">
        <f t="shared" ref="Z37:Z40" si="49">IF($V37="D",1,"")</f>
        <v/>
      </c>
    </row>
    <row r="38" spans="1:26" ht="15.75" customHeight="1">
      <c r="A38" s="27" t="s">
        <v>661</v>
      </c>
      <c r="B38" s="27" t="s">
        <v>662</v>
      </c>
      <c r="C38" s="27" t="s">
        <v>662</v>
      </c>
      <c r="D38" s="27" t="s">
        <v>663</v>
      </c>
      <c r="E38" s="27" t="s">
        <v>172</v>
      </c>
      <c r="F38" s="28">
        <v>0.1</v>
      </c>
      <c r="G38" s="29">
        <v>10</v>
      </c>
      <c r="H38" s="27" t="s">
        <v>664</v>
      </c>
      <c r="I38" s="27" t="s">
        <v>665</v>
      </c>
      <c r="J38" s="27" t="s">
        <v>666</v>
      </c>
      <c r="K38" s="27" t="s">
        <v>315</v>
      </c>
      <c r="L38" s="27" t="s">
        <v>295</v>
      </c>
      <c r="M38" s="29"/>
      <c r="N38" s="29"/>
      <c r="O38" s="29"/>
      <c r="P38" s="27" t="s">
        <v>101</v>
      </c>
      <c r="Q38" s="27">
        <v>4</v>
      </c>
      <c r="R38" s="14"/>
      <c r="S38" s="14"/>
      <c r="T38" s="30" t="str">
        <f t="shared" si="44"/>
        <v/>
      </c>
      <c r="U38" s="30" t="str">
        <f t="shared" si="45"/>
        <v/>
      </c>
      <c r="V38" s="8" t="str">
        <f t="shared" si="0"/>
        <v/>
      </c>
      <c r="W38" s="8" t="str">
        <f t="shared" si="46"/>
        <v/>
      </c>
      <c r="X38" s="8" t="str">
        <f t="shared" si="47"/>
        <v/>
      </c>
      <c r="Y38" s="8" t="str">
        <f t="shared" si="48"/>
        <v/>
      </c>
      <c r="Z38" s="8" t="str">
        <f t="shared" si="49"/>
        <v/>
      </c>
    </row>
    <row r="39" spans="1:26" ht="15.75" customHeight="1">
      <c r="A39" s="27" t="s">
        <v>669</v>
      </c>
      <c r="B39" s="27" t="s">
        <v>670</v>
      </c>
      <c r="C39" s="27" t="s">
        <v>671</v>
      </c>
      <c r="D39" s="27" t="s">
        <v>672</v>
      </c>
      <c r="E39" s="27" t="s">
        <v>673</v>
      </c>
      <c r="F39" s="28">
        <v>0.25</v>
      </c>
      <c r="G39" s="29">
        <v>3</v>
      </c>
      <c r="H39" s="27" t="s">
        <v>674</v>
      </c>
      <c r="I39" s="27" t="s">
        <v>675</v>
      </c>
      <c r="J39" s="27" t="s">
        <v>676</v>
      </c>
      <c r="K39" s="27" t="s">
        <v>483</v>
      </c>
      <c r="L39" s="27" t="s">
        <v>484</v>
      </c>
      <c r="M39" s="29"/>
      <c r="N39" s="29"/>
      <c r="O39" s="29"/>
      <c r="P39" s="27" t="s">
        <v>101</v>
      </c>
      <c r="Q39" s="27">
        <v>5</v>
      </c>
      <c r="R39" s="14"/>
      <c r="S39" s="14"/>
      <c r="T39" s="30" t="str">
        <f t="shared" si="44"/>
        <v/>
      </c>
      <c r="U39" s="30" t="str">
        <f t="shared" si="45"/>
        <v/>
      </c>
      <c r="V39" s="8" t="str">
        <f t="shared" si="0"/>
        <v/>
      </c>
      <c r="W39" s="8" t="str">
        <f t="shared" si="46"/>
        <v/>
      </c>
      <c r="X39" s="8" t="str">
        <f t="shared" si="47"/>
        <v/>
      </c>
      <c r="Y39" s="8" t="str">
        <f t="shared" si="48"/>
        <v/>
      </c>
      <c r="Z39" s="8" t="str">
        <f t="shared" si="49"/>
        <v/>
      </c>
    </row>
    <row r="40" spans="1:26" ht="15.75" customHeight="1">
      <c r="A40" s="27" t="s">
        <v>678</v>
      </c>
      <c r="B40" s="27" t="s">
        <v>679</v>
      </c>
      <c r="C40" s="27" t="s">
        <v>680</v>
      </c>
      <c r="D40" s="27" t="s">
        <v>681</v>
      </c>
      <c r="E40" s="27" t="s">
        <v>682</v>
      </c>
      <c r="F40" s="28">
        <v>0.1</v>
      </c>
      <c r="G40" s="29">
        <v>5</v>
      </c>
      <c r="H40" s="27" t="s">
        <v>683</v>
      </c>
      <c r="I40" s="27" t="s">
        <v>684</v>
      </c>
      <c r="J40" s="27" t="s">
        <v>685</v>
      </c>
      <c r="K40" s="27" t="s">
        <v>686</v>
      </c>
      <c r="L40" s="27" t="s">
        <v>687</v>
      </c>
      <c r="M40" s="29"/>
      <c r="N40" s="29"/>
      <c r="O40" s="29"/>
      <c r="P40" s="27" t="s">
        <v>101</v>
      </c>
      <c r="Q40" s="27">
        <v>5</v>
      </c>
      <c r="R40" s="14"/>
      <c r="S40" s="14"/>
      <c r="T40" s="30" t="str">
        <f t="shared" si="44"/>
        <v/>
      </c>
      <c r="U40" s="30" t="str">
        <f t="shared" si="45"/>
        <v/>
      </c>
      <c r="V40" s="8" t="str">
        <f t="shared" si="0"/>
        <v/>
      </c>
      <c r="W40" s="8" t="str">
        <f t="shared" si="46"/>
        <v/>
      </c>
      <c r="X40" s="8" t="str">
        <f t="shared" si="47"/>
        <v/>
      </c>
      <c r="Y40" s="8" t="str">
        <f t="shared" si="48"/>
        <v/>
      </c>
      <c r="Z40" s="8" t="str">
        <f t="shared" si="49"/>
        <v/>
      </c>
    </row>
    <row r="41" spans="1:26" ht="15.75" customHeight="1">
      <c r="A41" s="20" t="s">
        <v>561</v>
      </c>
      <c r="B41" s="20" t="s">
        <v>694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>
        <f>SUM(Q42:Q46)</f>
        <v>15</v>
      </c>
      <c r="R41" s="20"/>
      <c r="S41" s="20"/>
      <c r="T41" s="24">
        <f>SUM(T42:T46)</f>
        <v>0</v>
      </c>
      <c r="U41" s="24" t="str">
        <f>IF(COUNT(T42:T46)=0,"",ROUND(T41/Q41*100,2))</f>
        <v/>
      </c>
      <c r="V41" s="20" t="str">
        <f t="shared" si="0"/>
        <v/>
      </c>
      <c r="W41" s="20">
        <f t="shared" ref="W41:Z41" si="50">SUM(W42:W46)</f>
        <v>0</v>
      </c>
      <c r="X41" s="20">
        <f t="shared" si="50"/>
        <v>0</v>
      </c>
      <c r="Y41" s="20">
        <f t="shared" si="50"/>
        <v>0</v>
      </c>
      <c r="Z41" s="20">
        <f t="shared" si="50"/>
        <v>0</v>
      </c>
    </row>
    <row r="42" spans="1:26" ht="15.75" customHeight="1">
      <c r="A42" s="27" t="s">
        <v>697</v>
      </c>
      <c r="B42" s="27" t="s">
        <v>698</v>
      </c>
      <c r="C42" s="27" t="s">
        <v>698</v>
      </c>
      <c r="D42" s="27" t="s">
        <v>699</v>
      </c>
      <c r="E42" s="27" t="s">
        <v>700</v>
      </c>
      <c r="F42" s="28">
        <v>1</v>
      </c>
      <c r="G42" s="29">
        <v>5</v>
      </c>
      <c r="H42" s="27" t="s">
        <v>701</v>
      </c>
      <c r="I42" s="27" t="s">
        <v>702</v>
      </c>
      <c r="J42" s="27" t="s">
        <v>703</v>
      </c>
      <c r="K42" s="27" t="s">
        <v>704</v>
      </c>
      <c r="L42" s="27" t="s">
        <v>705</v>
      </c>
      <c r="M42" s="29"/>
      <c r="N42" s="29"/>
      <c r="O42" s="29"/>
      <c r="P42" s="27" t="s">
        <v>263</v>
      </c>
      <c r="Q42" s="27">
        <v>3</v>
      </c>
      <c r="R42" s="14"/>
      <c r="S42" s="14"/>
      <c r="T42" s="30" t="str">
        <f t="shared" ref="T42:T46" si="51">IF(OR(S42="",R42="",R42=0),"",ROUND(Q42*MIN(S42/R42,1),2))</f>
        <v/>
      </c>
      <c r="U42" s="30" t="str">
        <f t="shared" ref="U42:U46" si="52">IF(T42="","",ROUND(T42/Q42*100,2))</f>
        <v/>
      </c>
      <c r="V42" s="8" t="str">
        <f t="shared" si="0"/>
        <v/>
      </c>
      <c r="W42" s="8" t="str">
        <f t="shared" ref="W42:W46" si="53">IF($V42="Y",1,"")</f>
        <v/>
      </c>
      <c r="X42" s="8" t="str">
        <f t="shared" ref="X42:X46" si="54">IF($V42="C",1,"")</f>
        <v/>
      </c>
      <c r="Y42" s="8" t="str">
        <f t="shared" ref="Y42:Y46" si="55">IF($V42="W",1,"")</f>
        <v/>
      </c>
      <c r="Z42" s="8" t="str">
        <f t="shared" ref="Z42:Z46" si="56">IF($V42="D",1,"")</f>
        <v/>
      </c>
    </row>
    <row r="43" spans="1:26" ht="15.75" customHeight="1">
      <c r="A43" s="27" t="s">
        <v>725</v>
      </c>
      <c r="B43" s="27" t="s">
        <v>726</v>
      </c>
      <c r="C43" s="27" t="s">
        <v>726</v>
      </c>
      <c r="D43" s="27" t="s">
        <v>727</v>
      </c>
      <c r="E43" s="27" t="s">
        <v>728</v>
      </c>
      <c r="F43" s="28">
        <v>1</v>
      </c>
      <c r="G43" s="29">
        <v>5</v>
      </c>
      <c r="H43" s="27" t="s">
        <v>729</v>
      </c>
      <c r="I43" s="27" t="s">
        <v>730</v>
      </c>
      <c r="J43" s="27" t="s">
        <v>260</v>
      </c>
      <c r="K43" s="27" t="s">
        <v>261</v>
      </c>
      <c r="L43" s="27" t="s">
        <v>731</v>
      </c>
      <c r="M43" s="29"/>
      <c r="N43" s="29"/>
      <c r="O43" s="29"/>
      <c r="P43" s="27" t="s">
        <v>263</v>
      </c>
      <c r="Q43" s="27">
        <v>3</v>
      </c>
      <c r="R43" s="14"/>
      <c r="S43" s="14"/>
      <c r="T43" s="30" t="str">
        <f t="shared" si="51"/>
        <v/>
      </c>
      <c r="U43" s="30" t="str">
        <f t="shared" si="52"/>
        <v/>
      </c>
      <c r="V43" s="8" t="str">
        <f t="shared" si="0"/>
        <v/>
      </c>
      <c r="W43" s="8" t="str">
        <f t="shared" si="53"/>
        <v/>
      </c>
      <c r="X43" s="8" t="str">
        <f t="shared" si="54"/>
        <v/>
      </c>
      <c r="Y43" s="8" t="str">
        <f t="shared" si="55"/>
        <v/>
      </c>
      <c r="Z43" s="8" t="str">
        <f t="shared" si="56"/>
        <v/>
      </c>
    </row>
    <row r="44" spans="1:26" ht="15.75" customHeight="1">
      <c r="A44" s="27" t="s">
        <v>732</v>
      </c>
      <c r="B44" s="27" t="s">
        <v>733</v>
      </c>
      <c r="C44" s="27" t="s">
        <v>733</v>
      </c>
      <c r="D44" s="27" t="s">
        <v>734</v>
      </c>
      <c r="E44" s="27" t="s">
        <v>172</v>
      </c>
      <c r="F44" s="28">
        <v>0.1</v>
      </c>
      <c r="G44" s="29">
        <v>10</v>
      </c>
      <c r="H44" s="27" t="s">
        <v>735</v>
      </c>
      <c r="I44" s="27" t="s">
        <v>736</v>
      </c>
      <c r="J44" s="27" t="s">
        <v>737</v>
      </c>
      <c r="K44" s="27" t="s">
        <v>738</v>
      </c>
      <c r="L44" s="27" t="s">
        <v>739</v>
      </c>
      <c r="M44" s="29"/>
      <c r="N44" s="29"/>
      <c r="O44" s="29"/>
      <c r="P44" s="27" t="s">
        <v>101</v>
      </c>
      <c r="Q44" s="27">
        <v>3</v>
      </c>
      <c r="R44" s="14"/>
      <c r="S44" s="14"/>
      <c r="T44" s="30" t="str">
        <f t="shared" si="51"/>
        <v/>
      </c>
      <c r="U44" s="30" t="str">
        <f t="shared" si="52"/>
        <v/>
      </c>
      <c r="V44" s="8" t="str">
        <f t="shared" si="0"/>
        <v/>
      </c>
      <c r="W44" s="8" t="str">
        <f t="shared" si="53"/>
        <v/>
      </c>
      <c r="X44" s="8" t="str">
        <f t="shared" si="54"/>
        <v/>
      </c>
      <c r="Y44" s="8" t="str">
        <f t="shared" si="55"/>
        <v/>
      </c>
      <c r="Z44" s="8" t="str">
        <f t="shared" si="56"/>
        <v/>
      </c>
    </row>
    <row r="45" spans="1:26" ht="15.75" customHeight="1">
      <c r="A45" s="27" t="s">
        <v>740</v>
      </c>
      <c r="B45" s="27" t="s">
        <v>741</v>
      </c>
      <c r="C45" s="27" t="s">
        <v>742</v>
      </c>
      <c r="D45" s="27" t="s">
        <v>743</v>
      </c>
      <c r="E45" s="27" t="s">
        <v>744</v>
      </c>
      <c r="F45" s="28">
        <v>1</v>
      </c>
      <c r="G45" s="29">
        <v>3</v>
      </c>
      <c r="H45" s="27" t="s">
        <v>745</v>
      </c>
      <c r="I45" s="27" t="s">
        <v>746</v>
      </c>
      <c r="J45" s="27" t="s">
        <v>260</v>
      </c>
      <c r="K45" s="27" t="s">
        <v>261</v>
      </c>
      <c r="L45" s="27" t="s">
        <v>484</v>
      </c>
      <c r="M45" s="29"/>
      <c r="N45" s="29"/>
      <c r="O45" s="29"/>
      <c r="P45" s="27" t="s">
        <v>263</v>
      </c>
      <c r="Q45" s="27">
        <v>3</v>
      </c>
      <c r="R45" s="14"/>
      <c r="S45" s="14"/>
      <c r="T45" s="30" t="str">
        <f t="shared" si="51"/>
        <v/>
      </c>
      <c r="U45" s="30" t="str">
        <f t="shared" si="52"/>
        <v/>
      </c>
      <c r="V45" s="8" t="str">
        <f t="shared" si="0"/>
        <v/>
      </c>
      <c r="W45" s="8" t="str">
        <f t="shared" si="53"/>
        <v/>
      </c>
      <c r="X45" s="8" t="str">
        <f t="shared" si="54"/>
        <v/>
      </c>
      <c r="Y45" s="8" t="str">
        <f t="shared" si="55"/>
        <v/>
      </c>
      <c r="Z45" s="8" t="str">
        <f t="shared" si="56"/>
        <v/>
      </c>
    </row>
    <row r="46" spans="1:26" ht="15.75" customHeight="1">
      <c r="A46" s="27" t="s">
        <v>753</v>
      </c>
      <c r="B46" s="27" t="s">
        <v>754</v>
      </c>
      <c r="C46" s="27" t="s">
        <v>755</v>
      </c>
      <c r="D46" s="27" t="s">
        <v>756</v>
      </c>
      <c r="E46" s="27" t="s">
        <v>757</v>
      </c>
      <c r="F46" s="28">
        <v>1</v>
      </c>
      <c r="G46" s="29">
        <v>5</v>
      </c>
      <c r="H46" s="27" t="s">
        <v>758</v>
      </c>
      <c r="I46" s="27" t="s">
        <v>759</v>
      </c>
      <c r="J46" s="27" t="s">
        <v>760</v>
      </c>
      <c r="K46" s="27" t="s">
        <v>761</v>
      </c>
      <c r="L46" s="27" t="s">
        <v>515</v>
      </c>
      <c r="M46" s="29"/>
      <c r="N46" s="29"/>
      <c r="O46" s="29"/>
      <c r="P46" s="27" t="s">
        <v>263</v>
      </c>
      <c r="Q46" s="27">
        <v>3</v>
      </c>
      <c r="R46" s="14"/>
      <c r="S46" s="14"/>
      <c r="T46" s="30" t="str">
        <f t="shared" si="51"/>
        <v/>
      </c>
      <c r="U46" s="30" t="str">
        <f t="shared" si="52"/>
        <v/>
      </c>
      <c r="V46" s="8" t="str">
        <f t="shared" si="0"/>
        <v/>
      </c>
      <c r="W46" s="8" t="str">
        <f t="shared" si="53"/>
        <v/>
      </c>
      <c r="X46" s="8" t="str">
        <f t="shared" si="54"/>
        <v/>
      </c>
      <c r="Y46" s="8" t="str">
        <f t="shared" si="55"/>
        <v/>
      </c>
      <c r="Z46" s="8" t="str">
        <f t="shared" si="56"/>
        <v/>
      </c>
    </row>
    <row r="47" spans="1:26" ht="15.75" customHeight="1">
      <c r="P47" s="26"/>
      <c r="Q47" s="26">
        <f>Q8+Q14+Q20+Q24+Q28+Q32+Q36+Q41</f>
        <v>120</v>
      </c>
      <c r="R47" s="26"/>
      <c r="S47" s="26"/>
      <c r="T47" s="32">
        <f>T8+T14+T20+T24+T28+T32+T36+T41</f>
        <v>3.67</v>
      </c>
      <c r="U47" s="32">
        <f>IF(T47=0,"",ROUND(T47/Q47*100,2))</f>
        <v>3.06</v>
      </c>
      <c r="V47" s="26" t="str">
        <f t="shared" si="0"/>
        <v>D</v>
      </c>
      <c r="W47" s="26">
        <f t="shared" ref="W47:Z47" si="57">W8+W14+W20+W24+W28+W32+W36+W41</f>
        <v>0</v>
      </c>
      <c r="X47" s="26">
        <f t="shared" si="57"/>
        <v>1</v>
      </c>
      <c r="Y47" s="26">
        <f t="shared" si="57"/>
        <v>1</v>
      </c>
      <c r="Z47" s="26">
        <f t="shared" si="57"/>
        <v>0</v>
      </c>
    </row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3:L3"/>
    <mergeCell ref="A4:L4"/>
    <mergeCell ref="A5:L5"/>
  </mergeCells>
  <conditionalFormatting sqref="V8:V47">
    <cfRule type="cellIs" dxfId="41" priority="1" operator="equal">
      <formula>"Y"</formula>
    </cfRule>
    <cfRule type="cellIs" dxfId="40" priority="2" operator="equal">
      <formula>"C"</formula>
    </cfRule>
    <cfRule type="cellIs" dxfId="39" priority="3" operator="equal">
      <formula>"W"</formula>
    </cfRule>
    <cfRule type="cellIs" dxfId="38" priority="4" operator="equal">
      <formula>"D"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1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560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562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3.1</v>
      </c>
      <c r="B8" s="20" t="s">
        <v>570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SUM(Q9:Q11)</f>
        <v>10</v>
      </c>
      <c r="R8" s="20">
        <v>8</v>
      </c>
      <c r="S8" s="20"/>
      <c r="T8" s="24">
        <f>SUM(T9:T11)</f>
        <v>3.83</v>
      </c>
      <c r="U8" s="24">
        <f>IF(COUNT(T9:T11)=0,"",ROUND(T8/Q8*100,2))</f>
        <v>38.299999999999997</v>
      </c>
      <c r="V8" s="20" t="str">
        <f t="shared" ref="V8:V36" si="0">IF(U8="","",IF(U8&gt;YT*100,"Y",IF(U8&gt;=CT*100,"C",IF(U8&gt;=WT*100,"W","D"))))</f>
        <v>D</v>
      </c>
      <c r="W8" s="20">
        <f t="shared" ref="W8:Z8" si="1">SUM(W9:W11)</f>
        <v>0</v>
      </c>
      <c r="X8" s="20">
        <f t="shared" si="1"/>
        <v>0</v>
      </c>
      <c r="Y8" s="20">
        <f t="shared" si="1"/>
        <v>1</v>
      </c>
      <c r="Z8" s="20">
        <f t="shared" si="1"/>
        <v>2</v>
      </c>
    </row>
    <row r="9" spans="1:26" ht="30">
      <c r="A9" s="27" t="s">
        <v>582</v>
      </c>
      <c r="B9" s="27" t="s">
        <v>583</v>
      </c>
      <c r="C9" s="27" t="s">
        <v>584</v>
      </c>
      <c r="D9" s="27" t="s">
        <v>585</v>
      </c>
      <c r="E9" s="27" t="s">
        <v>586</v>
      </c>
      <c r="F9" s="28">
        <v>0.2</v>
      </c>
      <c r="G9" s="29">
        <v>5</v>
      </c>
      <c r="H9" s="27" t="s">
        <v>587</v>
      </c>
      <c r="I9" s="27" t="s">
        <v>588</v>
      </c>
      <c r="J9" s="27" t="s">
        <v>589</v>
      </c>
      <c r="K9" s="27" t="s">
        <v>590</v>
      </c>
      <c r="L9" s="27" t="s">
        <v>591</v>
      </c>
      <c r="M9" s="29"/>
      <c r="N9" s="29"/>
      <c r="O9" s="29"/>
      <c r="P9" s="27" t="s">
        <v>101</v>
      </c>
      <c r="Q9" s="27">
        <v>4</v>
      </c>
      <c r="R9" s="14">
        <v>3</v>
      </c>
      <c r="S9" s="14">
        <v>1</v>
      </c>
      <c r="T9" s="30">
        <f t="shared" ref="T9:T11" si="2">IF(OR(S9="",R9="",R9=0),"",ROUND(Q9*MIN(S9/R9,1),2))</f>
        <v>1.33</v>
      </c>
      <c r="U9" s="30">
        <f t="shared" ref="U9:U11" si="3">IF(T9="","",ROUND(T9/Q9*100,2))</f>
        <v>33.25</v>
      </c>
      <c r="V9" s="8" t="str">
        <f t="shared" si="0"/>
        <v>D</v>
      </c>
      <c r="W9" s="8" t="str">
        <f t="shared" ref="W9:W11" si="4">IF($V9="Y",1,"")</f>
        <v/>
      </c>
      <c r="X9" s="8" t="str">
        <f t="shared" ref="X9:X11" si="5">IF($V9="C",1,"")</f>
        <v/>
      </c>
      <c r="Y9" s="8" t="str">
        <f t="shared" ref="Y9:Y11" si="6">IF($V9="W",1,"")</f>
        <v/>
      </c>
      <c r="Z9" s="8">
        <f t="shared" ref="Z9:Z11" si="7">IF($V9="D",1,"")</f>
        <v>1</v>
      </c>
    </row>
    <row r="10" spans="1:26" ht="30">
      <c r="A10" s="27" t="s">
        <v>601</v>
      </c>
      <c r="B10" s="27" t="s">
        <v>602</v>
      </c>
      <c r="C10" s="27" t="s">
        <v>602</v>
      </c>
      <c r="D10" s="27" t="s">
        <v>603</v>
      </c>
      <c r="E10" s="27" t="s">
        <v>586</v>
      </c>
      <c r="F10" s="28">
        <v>0.2</v>
      </c>
      <c r="G10" s="29">
        <v>5</v>
      </c>
      <c r="H10" s="27" t="s">
        <v>604</v>
      </c>
      <c r="I10" s="27" t="s">
        <v>605</v>
      </c>
      <c r="J10" s="27" t="s">
        <v>606</v>
      </c>
      <c r="K10" s="27" t="s">
        <v>607</v>
      </c>
      <c r="L10" s="27" t="s">
        <v>608</v>
      </c>
      <c r="M10" s="29"/>
      <c r="N10" s="29"/>
      <c r="O10" s="29"/>
      <c r="P10" s="27" t="s">
        <v>101</v>
      </c>
      <c r="Q10" s="27">
        <v>3</v>
      </c>
      <c r="R10" s="14">
        <v>3</v>
      </c>
      <c r="S10" s="14">
        <v>1</v>
      </c>
      <c r="T10" s="30">
        <f t="shared" si="2"/>
        <v>1</v>
      </c>
      <c r="U10" s="30">
        <f t="shared" si="3"/>
        <v>33.33</v>
      </c>
      <c r="V10" s="8" t="str">
        <f t="shared" si="0"/>
        <v>D</v>
      </c>
      <c r="W10" s="8" t="str">
        <f t="shared" si="4"/>
        <v/>
      </c>
      <c r="X10" s="8" t="str">
        <f t="shared" si="5"/>
        <v/>
      </c>
      <c r="Y10" s="8" t="str">
        <f t="shared" si="6"/>
        <v/>
      </c>
      <c r="Z10" s="8">
        <f t="shared" si="7"/>
        <v>1</v>
      </c>
    </row>
    <row r="11" spans="1:26" ht="30">
      <c r="A11" s="27" t="s">
        <v>616</v>
      </c>
      <c r="B11" s="27" t="s">
        <v>617</v>
      </c>
      <c r="C11" s="27" t="s">
        <v>617</v>
      </c>
      <c r="D11" s="27" t="s">
        <v>618</v>
      </c>
      <c r="E11" s="27" t="s">
        <v>619</v>
      </c>
      <c r="F11" s="28">
        <v>0.2</v>
      </c>
      <c r="G11" s="29">
        <v>5</v>
      </c>
      <c r="H11" s="27" t="s">
        <v>620</v>
      </c>
      <c r="I11" s="27" t="s">
        <v>621</v>
      </c>
      <c r="J11" s="27" t="s">
        <v>622</v>
      </c>
      <c r="K11" s="27" t="s">
        <v>623</v>
      </c>
      <c r="L11" s="27" t="s">
        <v>624</v>
      </c>
      <c r="M11" s="29"/>
      <c r="N11" s="29"/>
      <c r="O11" s="29"/>
      <c r="P11" s="27" t="s">
        <v>101</v>
      </c>
      <c r="Q11" s="27">
        <v>3</v>
      </c>
      <c r="R11" s="14">
        <v>2</v>
      </c>
      <c r="S11" s="14">
        <v>1</v>
      </c>
      <c r="T11" s="30">
        <f t="shared" si="2"/>
        <v>1.5</v>
      </c>
      <c r="U11" s="30">
        <f t="shared" si="3"/>
        <v>50</v>
      </c>
      <c r="V11" s="8" t="str">
        <f t="shared" si="0"/>
        <v>W</v>
      </c>
      <c r="W11" s="8" t="str">
        <f t="shared" si="4"/>
        <v/>
      </c>
      <c r="X11" s="8" t="str">
        <f t="shared" si="5"/>
        <v/>
      </c>
      <c r="Y11" s="8">
        <f t="shared" si="6"/>
        <v>1</v>
      </c>
      <c r="Z11" s="8" t="str">
        <f t="shared" si="7"/>
        <v/>
      </c>
    </row>
    <row r="12" spans="1:26">
      <c r="A12" s="20">
        <v>3.2</v>
      </c>
      <c r="B12" s="20" t="s">
        <v>632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>
        <f>SUM(Q13:Q14)</f>
        <v>10</v>
      </c>
      <c r="R12" s="20"/>
      <c r="S12" s="20"/>
      <c r="T12" s="24">
        <f>SUM(T13:T14)</f>
        <v>0</v>
      </c>
      <c r="U12" s="24" t="str">
        <f>IF(COUNT(T13:T14)=0,"",ROUND(T12/Q12*100,2))</f>
        <v/>
      </c>
      <c r="V12" s="20" t="str">
        <f t="shared" si="0"/>
        <v/>
      </c>
      <c r="W12" s="20">
        <f t="shared" ref="W12:Z12" si="8">SUM(W13:W14)</f>
        <v>0</v>
      </c>
      <c r="X12" s="20">
        <f t="shared" si="8"/>
        <v>0</v>
      </c>
      <c r="Y12" s="20">
        <f t="shared" si="8"/>
        <v>0</v>
      </c>
      <c r="Z12" s="20">
        <f t="shared" si="8"/>
        <v>0</v>
      </c>
    </row>
    <row r="13" spans="1:26" ht="30">
      <c r="A13" s="27" t="s">
        <v>635</v>
      </c>
      <c r="B13" s="27" t="s">
        <v>636</v>
      </c>
      <c r="C13" s="27" t="s">
        <v>636</v>
      </c>
      <c r="D13" s="27" t="s">
        <v>637</v>
      </c>
      <c r="E13" s="27" t="s">
        <v>639</v>
      </c>
      <c r="F13" s="28">
        <v>0.25</v>
      </c>
      <c r="G13" s="29">
        <v>4</v>
      </c>
      <c r="H13" s="27" t="s">
        <v>641</v>
      </c>
      <c r="I13" s="27" t="s">
        <v>643</v>
      </c>
      <c r="J13" s="27" t="s">
        <v>645</v>
      </c>
      <c r="K13" s="27" t="s">
        <v>315</v>
      </c>
      <c r="L13" s="27" t="s">
        <v>647</v>
      </c>
      <c r="M13" s="29"/>
      <c r="N13" s="29"/>
      <c r="O13" s="29"/>
      <c r="P13" s="27" t="s">
        <v>101</v>
      </c>
      <c r="Q13" s="27">
        <v>5</v>
      </c>
      <c r="R13" s="14"/>
      <c r="S13" s="14"/>
      <c r="T13" s="30" t="str">
        <f t="shared" ref="T13:T14" si="9">IF(OR(S13="",R13="",R13=0),"",ROUND(Q13*MIN(S13/R13,1),2))</f>
        <v/>
      </c>
      <c r="U13" s="30" t="str">
        <f t="shared" ref="U13:U14" si="10">IF(T13="","",ROUND(T13/Q13*100,2))</f>
        <v/>
      </c>
      <c r="V13" s="8" t="str">
        <f t="shared" si="0"/>
        <v/>
      </c>
      <c r="W13" s="8" t="str">
        <f t="shared" ref="W13:W14" si="11">IF($V13="Y",1,"")</f>
        <v/>
      </c>
      <c r="X13" s="8" t="str">
        <f t="shared" ref="X13:X14" si="12">IF($V13="C",1,"")</f>
        <v/>
      </c>
      <c r="Y13" s="8" t="str">
        <f t="shared" ref="Y13:Y14" si="13">IF($V13="W",1,"")</f>
        <v/>
      </c>
      <c r="Z13" s="8" t="str">
        <f t="shared" ref="Z13:Z14" si="14">IF($V13="D",1,"")</f>
        <v/>
      </c>
    </row>
    <row r="14" spans="1:26" ht="30">
      <c r="A14" s="27" t="s">
        <v>653</v>
      </c>
      <c r="B14" s="27" t="s">
        <v>654</v>
      </c>
      <c r="C14" s="27" t="s">
        <v>655</v>
      </c>
      <c r="D14" s="27" t="s">
        <v>656</v>
      </c>
      <c r="E14" s="27" t="s">
        <v>657</v>
      </c>
      <c r="F14" s="28">
        <v>0.25</v>
      </c>
      <c r="G14" s="29">
        <v>4</v>
      </c>
      <c r="H14" s="27" t="s">
        <v>658</v>
      </c>
      <c r="I14" s="27" t="s">
        <v>659</v>
      </c>
      <c r="J14" s="27" t="s">
        <v>660</v>
      </c>
      <c r="K14" s="27" t="s">
        <v>315</v>
      </c>
      <c r="L14" s="27" t="s">
        <v>295</v>
      </c>
      <c r="M14" s="29"/>
      <c r="N14" s="29"/>
      <c r="O14" s="29"/>
      <c r="P14" s="27" t="s">
        <v>101</v>
      </c>
      <c r="Q14" s="27">
        <v>5</v>
      </c>
      <c r="R14" s="14"/>
      <c r="S14" s="14"/>
      <c r="T14" s="30" t="str">
        <f t="shared" si="9"/>
        <v/>
      </c>
      <c r="U14" s="30" t="str">
        <f t="shared" si="10"/>
        <v/>
      </c>
      <c r="V14" s="8" t="str">
        <f t="shared" si="0"/>
        <v/>
      </c>
      <c r="W14" s="8" t="str">
        <f t="shared" si="11"/>
        <v/>
      </c>
      <c r="X14" s="8" t="str">
        <f t="shared" si="12"/>
        <v/>
      </c>
      <c r="Y14" s="8" t="str">
        <f t="shared" si="13"/>
        <v/>
      </c>
      <c r="Z14" s="8" t="str">
        <f t="shared" si="14"/>
        <v/>
      </c>
    </row>
    <row r="15" spans="1:26">
      <c r="A15" s="20">
        <v>3.3</v>
      </c>
      <c r="B15" s="20" t="s">
        <v>668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>
        <f>SUM(Q16:Q18)</f>
        <v>10</v>
      </c>
      <c r="R15" s="20"/>
      <c r="S15" s="20"/>
      <c r="T15" s="24">
        <f>SUM(T16:T18)</f>
        <v>0</v>
      </c>
      <c r="U15" s="24" t="str">
        <f>IF(COUNT(T16:T18)=0,"",ROUND(T15/Q15*100,2))</f>
        <v/>
      </c>
      <c r="V15" s="20" t="str">
        <f t="shared" si="0"/>
        <v/>
      </c>
      <c r="W15" s="20">
        <f t="shared" ref="W15:Z15" si="15">SUM(W16:W18)</f>
        <v>0</v>
      </c>
      <c r="X15" s="20">
        <f t="shared" si="15"/>
        <v>0</v>
      </c>
      <c r="Y15" s="20">
        <f t="shared" si="15"/>
        <v>0</v>
      </c>
      <c r="Z15" s="20">
        <f t="shared" si="15"/>
        <v>0</v>
      </c>
    </row>
    <row r="16" spans="1:26" ht="30">
      <c r="A16" s="27" t="s">
        <v>688</v>
      </c>
      <c r="B16" s="27" t="s">
        <v>689</v>
      </c>
      <c r="C16" s="27" t="s">
        <v>689</v>
      </c>
      <c r="D16" s="27" t="s">
        <v>690</v>
      </c>
      <c r="E16" s="27" t="s">
        <v>691</v>
      </c>
      <c r="F16" s="28">
        <v>0.25</v>
      </c>
      <c r="G16" s="29">
        <v>3</v>
      </c>
      <c r="H16" s="27" t="s">
        <v>692</v>
      </c>
      <c r="I16" s="27" t="s">
        <v>545</v>
      </c>
      <c r="J16" s="27" t="s">
        <v>546</v>
      </c>
      <c r="K16" s="27" t="s">
        <v>693</v>
      </c>
      <c r="L16" s="27" t="s">
        <v>548</v>
      </c>
      <c r="M16" s="29"/>
      <c r="N16" s="29"/>
      <c r="O16" s="29"/>
      <c r="P16" s="27" t="s">
        <v>101</v>
      </c>
      <c r="Q16" s="27">
        <v>5</v>
      </c>
      <c r="R16" s="14"/>
      <c r="S16" s="14"/>
      <c r="T16" s="30" t="str">
        <f t="shared" ref="T16:T18" si="16">IF(OR(S16="",R16="",R16=0),"",ROUND(Q16*MIN(S16/R16,1),2))</f>
        <v/>
      </c>
      <c r="U16" s="30" t="str">
        <f t="shared" ref="U16:U18" si="17">IF(T16="","",ROUND(T16/Q16*100,2))</f>
        <v/>
      </c>
      <c r="V16" s="8" t="str">
        <f t="shared" si="0"/>
        <v/>
      </c>
      <c r="W16" s="8" t="str">
        <f t="shared" ref="W16:W18" si="18">IF($V16="Y",1,"")</f>
        <v/>
      </c>
      <c r="X16" s="8" t="str">
        <f t="shared" ref="X16:X18" si="19">IF($V16="C",1,"")</f>
        <v/>
      </c>
      <c r="Y16" s="8" t="str">
        <f t="shared" ref="Y16:Y18" si="20">IF($V16="W",1,"")</f>
        <v/>
      </c>
      <c r="Z16" s="8" t="str">
        <f t="shared" ref="Z16:Z18" si="21">IF($V16="D",1,"")</f>
        <v/>
      </c>
    </row>
    <row r="17" spans="1:26" ht="30">
      <c r="A17" s="27" t="s">
        <v>707</v>
      </c>
      <c r="B17" s="27" t="s">
        <v>708</v>
      </c>
      <c r="C17" s="27" t="s">
        <v>708</v>
      </c>
      <c r="D17" s="27" t="s">
        <v>709</v>
      </c>
      <c r="E17" s="27" t="s">
        <v>710</v>
      </c>
      <c r="F17" s="28">
        <v>0.1</v>
      </c>
      <c r="G17" s="29">
        <v>10</v>
      </c>
      <c r="H17" s="27" t="s">
        <v>711</v>
      </c>
      <c r="I17" s="27" t="s">
        <v>712</v>
      </c>
      <c r="J17" s="27" t="s">
        <v>713</v>
      </c>
      <c r="K17" s="27" t="s">
        <v>714</v>
      </c>
      <c r="L17" s="27" t="s">
        <v>715</v>
      </c>
      <c r="M17" s="29"/>
      <c r="N17" s="29"/>
      <c r="O17" s="29"/>
      <c r="P17" s="27" t="s">
        <v>101</v>
      </c>
      <c r="Q17" s="27">
        <v>3</v>
      </c>
      <c r="R17" s="14"/>
      <c r="S17" s="14"/>
      <c r="T17" s="30" t="str">
        <f t="shared" si="16"/>
        <v/>
      </c>
      <c r="U17" s="30" t="str">
        <f t="shared" si="17"/>
        <v/>
      </c>
      <c r="V17" s="8" t="str">
        <f t="shared" si="0"/>
        <v/>
      </c>
      <c r="W17" s="8" t="str">
        <f t="shared" si="18"/>
        <v/>
      </c>
      <c r="X17" s="8" t="str">
        <f t="shared" si="19"/>
        <v/>
      </c>
      <c r="Y17" s="8" t="str">
        <f t="shared" si="20"/>
        <v/>
      </c>
      <c r="Z17" s="8" t="str">
        <f t="shared" si="21"/>
        <v/>
      </c>
    </row>
    <row r="18" spans="1:26" ht="30">
      <c r="A18" s="27" t="s">
        <v>716</v>
      </c>
      <c r="B18" s="27" t="s">
        <v>717</v>
      </c>
      <c r="C18" s="27" t="s">
        <v>717</v>
      </c>
      <c r="D18" s="27" t="s">
        <v>718</v>
      </c>
      <c r="E18" s="27" t="s">
        <v>172</v>
      </c>
      <c r="F18" s="28">
        <v>0.05</v>
      </c>
      <c r="G18" s="29">
        <v>10</v>
      </c>
      <c r="H18" s="27" t="s">
        <v>720</v>
      </c>
      <c r="I18" s="27" t="s">
        <v>721</v>
      </c>
      <c r="J18" s="27" t="s">
        <v>722</v>
      </c>
      <c r="K18" s="27" t="s">
        <v>315</v>
      </c>
      <c r="L18" s="27" t="s">
        <v>295</v>
      </c>
      <c r="M18" s="29"/>
      <c r="N18" s="29"/>
      <c r="O18" s="29"/>
      <c r="P18" s="27" t="s">
        <v>101</v>
      </c>
      <c r="Q18" s="27">
        <v>2</v>
      </c>
      <c r="R18" s="14"/>
      <c r="S18" s="14"/>
      <c r="T18" s="30" t="str">
        <f t="shared" si="16"/>
        <v/>
      </c>
      <c r="U18" s="30" t="str">
        <f t="shared" si="17"/>
        <v/>
      </c>
      <c r="V18" s="8" t="str">
        <f t="shared" si="0"/>
        <v/>
      </c>
      <c r="W18" s="8" t="str">
        <f t="shared" si="18"/>
        <v/>
      </c>
      <c r="X18" s="8" t="str">
        <f t="shared" si="19"/>
        <v/>
      </c>
      <c r="Y18" s="8" t="str">
        <f t="shared" si="20"/>
        <v/>
      </c>
      <c r="Z18" s="8" t="str">
        <f t="shared" si="21"/>
        <v/>
      </c>
    </row>
    <row r="19" spans="1:26">
      <c r="A19" s="20">
        <v>3.4</v>
      </c>
      <c r="B19" s="20" t="s">
        <v>696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>SUM(Q20:Q21)</f>
        <v>10</v>
      </c>
      <c r="R19" s="20"/>
      <c r="S19" s="20"/>
      <c r="T19" s="24">
        <f>SUM(T20:T21)</f>
        <v>0</v>
      </c>
      <c r="U19" s="24" t="str">
        <f>IF(COUNT(T20:T21)=0,"",ROUND(T19/Q19*100,2))</f>
        <v/>
      </c>
      <c r="V19" s="20" t="str">
        <f t="shared" si="0"/>
        <v/>
      </c>
      <c r="W19" s="20">
        <f t="shared" ref="W19:Z19" si="22">SUM(W20:W21)</f>
        <v>0</v>
      </c>
      <c r="X19" s="20">
        <f t="shared" si="22"/>
        <v>0</v>
      </c>
      <c r="Y19" s="20">
        <f t="shared" si="22"/>
        <v>0</v>
      </c>
      <c r="Z19" s="20">
        <f t="shared" si="22"/>
        <v>0</v>
      </c>
    </row>
    <row r="20" spans="1:26" ht="30">
      <c r="A20" s="27" t="s">
        <v>747</v>
      </c>
      <c r="B20" s="27" t="s">
        <v>748</v>
      </c>
      <c r="C20" s="27" t="s">
        <v>748</v>
      </c>
      <c r="D20" s="27" t="s">
        <v>749</v>
      </c>
      <c r="E20" s="27" t="s">
        <v>501</v>
      </c>
      <c r="F20" s="28">
        <v>0.1</v>
      </c>
      <c r="G20" s="29">
        <v>10</v>
      </c>
      <c r="H20" s="27" t="s">
        <v>750</v>
      </c>
      <c r="I20" s="27" t="s">
        <v>751</v>
      </c>
      <c r="J20" s="27" t="s">
        <v>333</v>
      </c>
      <c r="K20" s="27" t="s">
        <v>315</v>
      </c>
      <c r="L20" s="27" t="s">
        <v>752</v>
      </c>
      <c r="M20" s="29"/>
      <c r="N20" s="29"/>
      <c r="O20" s="29"/>
      <c r="P20" s="27" t="s">
        <v>101</v>
      </c>
      <c r="Q20" s="27">
        <v>5</v>
      </c>
      <c r="R20" s="14"/>
      <c r="S20" s="14"/>
      <c r="T20" s="30" t="str">
        <f t="shared" ref="T20:T21" si="23">IF(OR(S20="",R20="",R20=0),"",ROUND(Q20*MIN(S20/R20,1),2))</f>
        <v/>
      </c>
      <c r="U20" s="30" t="str">
        <f t="shared" ref="U20:U21" si="24">IF(T20="","",ROUND(T20/Q20*100,2))</f>
        <v/>
      </c>
      <c r="V20" s="8" t="str">
        <f t="shared" si="0"/>
        <v/>
      </c>
      <c r="W20" s="8" t="str">
        <f t="shared" ref="W20:W21" si="25">IF($V20="Y",1,"")</f>
        <v/>
      </c>
      <c r="X20" s="8" t="str">
        <f t="shared" ref="X20:X21" si="26">IF($V20="C",1,"")</f>
        <v/>
      </c>
      <c r="Y20" s="8" t="str">
        <f t="shared" ref="Y20:Y21" si="27">IF($V20="W",1,"")</f>
        <v/>
      </c>
      <c r="Z20" s="8" t="str">
        <f t="shared" ref="Z20:Z21" si="28">IF($V20="D",1,"")</f>
        <v/>
      </c>
    </row>
    <row r="21" spans="1:26" ht="15.75" customHeight="1">
      <c r="A21" s="27" t="s">
        <v>764</v>
      </c>
      <c r="B21" s="27" t="s">
        <v>765</v>
      </c>
      <c r="C21" s="27" t="s">
        <v>766</v>
      </c>
      <c r="D21" s="27" t="s">
        <v>767</v>
      </c>
      <c r="E21" s="27" t="s">
        <v>501</v>
      </c>
      <c r="F21" s="28">
        <v>0.1</v>
      </c>
      <c r="G21" s="29">
        <v>10</v>
      </c>
      <c r="H21" s="27" t="s">
        <v>768</v>
      </c>
      <c r="I21" s="27" t="s">
        <v>769</v>
      </c>
      <c r="J21" s="27" t="s">
        <v>333</v>
      </c>
      <c r="K21" s="27" t="s">
        <v>315</v>
      </c>
      <c r="L21" s="27" t="s">
        <v>484</v>
      </c>
      <c r="M21" s="29"/>
      <c r="N21" s="29"/>
      <c r="O21" s="29"/>
      <c r="P21" s="27" t="s">
        <v>101</v>
      </c>
      <c r="Q21" s="27">
        <v>5</v>
      </c>
      <c r="R21" s="14"/>
      <c r="S21" s="14"/>
      <c r="T21" s="30" t="str">
        <f t="shared" si="23"/>
        <v/>
      </c>
      <c r="U21" s="30" t="str">
        <f t="shared" si="24"/>
        <v/>
      </c>
      <c r="V21" s="8" t="str">
        <f t="shared" si="0"/>
        <v/>
      </c>
      <c r="W21" s="8" t="str">
        <f t="shared" si="25"/>
        <v/>
      </c>
      <c r="X21" s="8" t="str">
        <f t="shared" si="26"/>
        <v/>
      </c>
      <c r="Y21" s="8" t="str">
        <f t="shared" si="27"/>
        <v/>
      </c>
      <c r="Z21" s="8" t="str">
        <f t="shared" si="28"/>
        <v/>
      </c>
    </row>
    <row r="22" spans="1:26" ht="15.75" customHeight="1">
      <c r="A22" s="20">
        <v>3.5</v>
      </c>
      <c r="B22" s="20" t="s">
        <v>723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>SUM(Q23:Q25)</f>
        <v>20</v>
      </c>
      <c r="R22" s="20"/>
      <c r="S22" s="20"/>
      <c r="T22" s="24">
        <f>SUM(T23:T25)</f>
        <v>0</v>
      </c>
      <c r="U22" s="24" t="str">
        <f>IF(COUNT(T23:T25)=0,"",ROUND(T22/Q22*100,2))</f>
        <v/>
      </c>
      <c r="V22" s="20" t="str">
        <f t="shared" si="0"/>
        <v/>
      </c>
      <c r="W22" s="20">
        <f t="shared" ref="W22:Z22" si="29">SUM(W23:W25)</f>
        <v>0</v>
      </c>
      <c r="X22" s="20">
        <f t="shared" si="29"/>
        <v>0</v>
      </c>
      <c r="Y22" s="20">
        <f t="shared" si="29"/>
        <v>0</v>
      </c>
      <c r="Z22" s="20">
        <f t="shared" si="29"/>
        <v>0</v>
      </c>
    </row>
    <row r="23" spans="1:26" ht="15.75" customHeight="1">
      <c r="A23" s="27" t="s">
        <v>773</v>
      </c>
      <c r="B23" s="27" t="s">
        <v>774</v>
      </c>
      <c r="C23" s="27" t="s">
        <v>775</v>
      </c>
      <c r="D23" s="27" t="s">
        <v>776</v>
      </c>
      <c r="E23" s="27" t="s">
        <v>439</v>
      </c>
      <c r="F23" s="28">
        <v>0.2</v>
      </c>
      <c r="G23" s="29">
        <v>5</v>
      </c>
      <c r="H23" s="27" t="s">
        <v>777</v>
      </c>
      <c r="I23" s="27" t="s">
        <v>778</v>
      </c>
      <c r="J23" s="27" t="s">
        <v>779</v>
      </c>
      <c r="K23" s="27" t="s">
        <v>780</v>
      </c>
      <c r="L23" s="27" t="s">
        <v>781</v>
      </c>
      <c r="M23" s="29"/>
      <c r="N23" s="29"/>
      <c r="O23" s="29"/>
      <c r="P23" s="27" t="s">
        <v>101</v>
      </c>
      <c r="Q23" s="27">
        <v>8</v>
      </c>
      <c r="R23" s="14"/>
      <c r="S23" s="14"/>
      <c r="T23" s="30" t="str">
        <f t="shared" ref="T23:T25" si="30">IF(OR(S23="",R23="",R23=0),"",ROUND(Q23*MIN(S23/R23,1),2))</f>
        <v/>
      </c>
      <c r="U23" s="30" t="str">
        <f t="shared" ref="U23:U25" si="31">IF(T23="","",ROUND(T23/Q23*100,2))</f>
        <v/>
      </c>
      <c r="V23" s="8" t="str">
        <f t="shared" si="0"/>
        <v/>
      </c>
      <c r="W23" s="8" t="str">
        <f t="shared" ref="W23:W25" si="32">IF($V23="Y",1,"")</f>
        <v/>
      </c>
      <c r="X23" s="8" t="str">
        <f t="shared" ref="X23:X25" si="33">IF($V23="C",1,"")</f>
        <v/>
      </c>
      <c r="Y23" s="8" t="str">
        <f t="shared" ref="Y23:Y25" si="34">IF($V23="W",1,"")</f>
        <v/>
      </c>
      <c r="Z23" s="8" t="str">
        <f t="shared" ref="Z23:Z25" si="35">IF($V23="D",1,"")</f>
        <v/>
      </c>
    </row>
    <row r="24" spans="1:26" ht="15.75" customHeight="1">
      <c r="A24" s="27" t="s">
        <v>783</v>
      </c>
      <c r="B24" s="27" t="s">
        <v>784</v>
      </c>
      <c r="C24" s="27" t="s">
        <v>784</v>
      </c>
      <c r="D24" s="27" t="s">
        <v>785</v>
      </c>
      <c r="E24" s="27" t="s">
        <v>439</v>
      </c>
      <c r="F24" s="28">
        <v>0.2</v>
      </c>
      <c r="G24" s="29">
        <v>5</v>
      </c>
      <c r="H24" s="27" t="s">
        <v>786</v>
      </c>
      <c r="I24" s="27" t="s">
        <v>787</v>
      </c>
      <c r="J24" s="27" t="s">
        <v>333</v>
      </c>
      <c r="K24" s="27" t="s">
        <v>315</v>
      </c>
      <c r="L24" s="27" t="s">
        <v>484</v>
      </c>
      <c r="M24" s="29"/>
      <c r="N24" s="29"/>
      <c r="O24" s="29"/>
      <c r="P24" s="27" t="s">
        <v>101</v>
      </c>
      <c r="Q24" s="27">
        <v>6</v>
      </c>
      <c r="R24" s="14"/>
      <c r="S24" s="14"/>
      <c r="T24" s="30" t="str">
        <f t="shared" si="30"/>
        <v/>
      </c>
      <c r="U24" s="30" t="str">
        <f t="shared" si="31"/>
        <v/>
      </c>
      <c r="V24" s="8" t="str">
        <f t="shared" si="0"/>
        <v/>
      </c>
      <c r="W24" s="8" t="str">
        <f t="shared" si="32"/>
        <v/>
      </c>
      <c r="X24" s="8" t="str">
        <f t="shared" si="33"/>
        <v/>
      </c>
      <c r="Y24" s="8" t="str">
        <f t="shared" si="34"/>
        <v/>
      </c>
      <c r="Z24" s="8" t="str">
        <f t="shared" si="35"/>
        <v/>
      </c>
    </row>
    <row r="25" spans="1:26" ht="15.75" customHeight="1">
      <c r="A25" s="27" t="s">
        <v>788</v>
      </c>
      <c r="B25" s="27" t="s">
        <v>789</v>
      </c>
      <c r="C25" s="27" t="s">
        <v>790</v>
      </c>
      <c r="D25" s="27" t="s">
        <v>791</v>
      </c>
      <c r="E25" s="27" t="s">
        <v>439</v>
      </c>
      <c r="F25" s="28">
        <v>0.2</v>
      </c>
      <c r="G25" s="29">
        <v>5</v>
      </c>
      <c r="H25" s="27" t="s">
        <v>792</v>
      </c>
      <c r="I25" s="27" t="s">
        <v>793</v>
      </c>
      <c r="J25" s="27" t="s">
        <v>794</v>
      </c>
      <c r="K25" s="27" t="s">
        <v>795</v>
      </c>
      <c r="L25" s="27" t="s">
        <v>796</v>
      </c>
      <c r="M25" s="29"/>
      <c r="N25" s="29"/>
      <c r="O25" s="29"/>
      <c r="P25" s="27" t="s">
        <v>101</v>
      </c>
      <c r="Q25" s="27">
        <v>6</v>
      </c>
      <c r="R25" s="14"/>
      <c r="S25" s="14"/>
      <c r="T25" s="30" t="str">
        <f t="shared" si="30"/>
        <v/>
      </c>
      <c r="U25" s="30" t="str">
        <f t="shared" si="31"/>
        <v/>
      </c>
      <c r="V25" s="8" t="str">
        <f t="shared" si="0"/>
        <v/>
      </c>
      <c r="W25" s="8" t="str">
        <f t="shared" si="32"/>
        <v/>
      </c>
      <c r="X25" s="8" t="str">
        <f t="shared" si="33"/>
        <v/>
      </c>
      <c r="Y25" s="8" t="str">
        <f t="shared" si="34"/>
        <v/>
      </c>
      <c r="Z25" s="8" t="str">
        <f t="shared" si="35"/>
        <v/>
      </c>
    </row>
    <row r="26" spans="1:26" ht="15.75" customHeight="1">
      <c r="A26" s="20">
        <v>3.6</v>
      </c>
      <c r="B26" s="20" t="s">
        <v>797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>SUM(Q27:Q28)</f>
        <v>10</v>
      </c>
      <c r="R26" s="20"/>
      <c r="S26" s="20"/>
      <c r="T26" s="24">
        <f>SUM(T27:T28)</f>
        <v>0</v>
      </c>
      <c r="U26" s="24" t="str">
        <f>IF(COUNT(T27:T28)=0,"",ROUND(T26/Q26*100,2))</f>
        <v/>
      </c>
      <c r="V26" s="20" t="str">
        <f t="shared" si="0"/>
        <v/>
      </c>
      <c r="W26" s="20">
        <f t="shared" ref="W26:Z26" si="36">SUM(W27:W28)</f>
        <v>0</v>
      </c>
      <c r="X26" s="20">
        <f t="shared" si="36"/>
        <v>0</v>
      </c>
      <c r="Y26" s="20">
        <f t="shared" si="36"/>
        <v>0</v>
      </c>
      <c r="Z26" s="20">
        <f t="shared" si="36"/>
        <v>0</v>
      </c>
    </row>
    <row r="27" spans="1:26" ht="15.75" customHeight="1">
      <c r="A27" s="27" t="s">
        <v>799</v>
      </c>
      <c r="B27" s="27" t="s">
        <v>800</v>
      </c>
      <c r="C27" s="27" t="s">
        <v>800</v>
      </c>
      <c r="D27" s="27" t="s">
        <v>801</v>
      </c>
      <c r="E27" s="27" t="s">
        <v>226</v>
      </c>
      <c r="F27" s="28">
        <v>0.2</v>
      </c>
      <c r="G27" s="29">
        <v>5</v>
      </c>
      <c r="H27" s="27" t="s">
        <v>802</v>
      </c>
      <c r="I27" s="27" t="s">
        <v>803</v>
      </c>
      <c r="J27" s="27" t="s">
        <v>333</v>
      </c>
      <c r="K27" s="27" t="s">
        <v>804</v>
      </c>
      <c r="L27" s="27" t="s">
        <v>484</v>
      </c>
      <c r="M27" s="29"/>
      <c r="N27" s="29"/>
      <c r="O27" s="29"/>
      <c r="P27" s="27" t="s">
        <v>101</v>
      </c>
      <c r="Q27" s="27">
        <v>5</v>
      </c>
      <c r="R27" s="14"/>
      <c r="S27" s="14"/>
      <c r="T27" s="30" t="str">
        <f t="shared" ref="T27:T28" si="37">IF(OR(S27="",R27="",R27=0),"",ROUND(Q27*MIN(S27/R27,1),2))</f>
        <v/>
      </c>
      <c r="U27" s="30" t="str">
        <f t="shared" ref="U27:U28" si="38">IF(T27="","",ROUND(T27/Q27*100,2))</f>
        <v/>
      </c>
      <c r="V27" s="8" t="str">
        <f t="shared" si="0"/>
        <v/>
      </c>
      <c r="W27" s="8" t="str">
        <f t="shared" ref="W27:W28" si="39">IF($V27="Y",1,"")</f>
        <v/>
      </c>
      <c r="X27" s="8" t="str">
        <f t="shared" ref="X27:X28" si="40">IF($V27="C",1,"")</f>
        <v/>
      </c>
      <c r="Y27" s="8" t="str">
        <f t="shared" ref="Y27:Y28" si="41">IF($V27="W",1,"")</f>
        <v/>
      </c>
      <c r="Z27" s="8" t="str">
        <f t="shared" ref="Z27:Z28" si="42">IF($V27="D",1,"")</f>
        <v/>
      </c>
    </row>
    <row r="28" spans="1:26" ht="15.75" customHeight="1">
      <c r="A28" s="27" t="s">
        <v>805</v>
      </c>
      <c r="B28" s="27" t="s">
        <v>806</v>
      </c>
      <c r="C28" s="27" t="s">
        <v>806</v>
      </c>
      <c r="D28" s="27" t="s">
        <v>807</v>
      </c>
      <c r="E28" s="27" t="s">
        <v>808</v>
      </c>
      <c r="F28" s="28">
        <v>0.1</v>
      </c>
      <c r="G28" s="29">
        <v>10</v>
      </c>
      <c r="H28" s="27" t="s">
        <v>809</v>
      </c>
      <c r="I28" s="27" t="s">
        <v>810</v>
      </c>
      <c r="J28" s="27" t="s">
        <v>811</v>
      </c>
      <c r="K28" s="27" t="s">
        <v>483</v>
      </c>
      <c r="L28" s="27" t="s">
        <v>484</v>
      </c>
      <c r="M28" s="29"/>
      <c r="N28" s="29"/>
      <c r="O28" s="29"/>
      <c r="P28" s="27" t="s">
        <v>101</v>
      </c>
      <c r="Q28" s="27">
        <v>5</v>
      </c>
      <c r="R28" s="14"/>
      <c r="S28" s="14"/>
      <c r="T28" s="30" t="str">
        <f t="shared" si="37"/>
        <v/>
      </c>
      <c r="U28" s="30" t="str">
        <f t="shared" si="38"/>
        <v/>
      </c>
      <c r="V28" s="8" t="str">
        <f t="shared" si="0"/>
        <v/>
      </c>
      <c r="W28" s="8" t="str">
        <f t="shared" si="39"/>
        <v/>
      </c>
      <c r="X28" s="8" t="str">
        <f t="shared" si="40"/>
        <v/>
      </c>
      <c r="Y28" s="8" t="str">
        <f t="shared" si="41"/>
        <v/>
      </c>
      <c r="Z28" s="8" t="str">
        <f t="shared" si="42"/>
        <v/>
      </c>
    </row>
    <row r="29" spans="1:26" ht="15.75" customHeight="1">
      <c r="A29" s="20">
        <v>3.7</v>
      </c>
      <c r="B29" s="20" t="s">
        <v>771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f>SUM(Q30:Q32)</f>
        <v>25</v>
      </c>
      <c r="R29" s="20"/>
      <c r="S29" s="20"/>
      <c r="T29" s="24">
        <f>SUM(T30:T32)</f>
        <v>0</v>
      </c>
      <c r="U29" s="24" t="str">
        <f>IF(COUNT(T30:T32)=0,"",ROUND(T29/Q29*100,2))</f>
        <v/>
      </c>
      <c r="V29" s="20" t="str">
        <f t="shared" si="0"/>
        <v/>
      </c>
      <c r="W29" s="20">
        <f t="shared" ref="W29:Z29" si="43">SUM(W30:W32)</f>
        <v>0</v>
      </c>
      <c r="X29" s="20">
        <f t="shared" si="43"/>
        <v>0</v>
      </c>
      <c r="Y29" s="20">
        <f t="shared" si="43"/>
        <v>0</v>
      </c>
      <c r="Z29" s="20">
        <f t="shared" si="43"/>
        <v>0</v>
      </c>
    </row>
    <row r="30" spans="1:26" ht="15.75" customHeight="1">
      <c r="A30" s="27" t="s">
        <v>816</v>
      </c>
      <c r="B30" s="27" t="s">
        <v>817</v>
      </c>
      <c r="C30" s="27" t="s">
        <v>818</v>
      </c>
      <c r="D30" s="27" t="s">
        <v>819</v>
      </c>
      <c r="E30" s="27" t="s">
        <v>226</v>
      </c>
      <c r="F30" s="28">
        <v>0.2</v>
      </c>
      <c r="G30" s="29">
        <v>5</v>
      </c>
      <c r="H30" s="27" t="s">
        <v>339</v>
      </c>
      <c r="I30" s="27" t="s">
        <v>820</v>
      </c>
      <c r="J30" s="27" t="s">
        <v>821</v>
      </c>
      <c r="K30" s="27" t="s">
        <v>822</v>
      </c>
      <c r="L30" s="27" t="s">
        <v>823</v>
      </c>
      <c r="M30" s="29"/>
      <c r="N30" s="29"/>
      <c r="O30" s="29"/>
      <c r="P30" s="27" t="s">
        <v>101</v>
      </c>
      <c r="Q30" s="27">
        <v>5</v>
      </c>
      <c r="R30" s="14"/>
      <c r="S30" s="14"/>
      <c r="T30" s="30" t="str">
        <f t="shared" ref="T30:T32" si="44">IF(OR(S30="",R30="",R30=0),"",ROUND(Q30*MIN(S30/R30,1),2))</f>
        <v/>
      </c>
      <c r="U30" s="30" t="str">
        <f t="shared" ref="U30:U32" si="45">IF(T30="","",ROUND(T30/Q30*100,2))</f>
        <v/>
      </c>
      <c r="V30" s="8" t="str">
        <f t="shared" si="0"/>
        <v/>
      </c>
      <c r="W30" s="8" t="str">
        <f t="shared" ref="W30:W32" si="46">IF($V30="Y",1,"")</f>
        <v/>
      </c>
      <c r="X30" s="8" t="str">
        <f t="shared" ref="X30:X32" si="47">IF($V30="C",1,"")</f>
        <v/>
      </c>
      <c r="Y30" s="8" t="str">
        <f t="shared" ref="Y30:Y32" si="48">IF($V30="W",1,"")</f>
        <v/>
      </c>
      <c r="Z30" s="8" t="str">
        <f t="shared" ref="Z30:Z32" si="49">IF($V30="D",1,"")</f>
        <v/>
      </c>
    </row>
    <row r="31" spans="1:26" ht="15.75" customHeight="1">
      <c r="A31" s="27" t="s">
        <v>825</v>
      </c>
      <c r="B31" s="27" t="s">
        <v>826</v>
      </c>
      <c r="C31" s="27" t="s">
        <v>827</v>
      </c>
      <c r="D31" s="27" t="s">
        <v>828</v>
      </c>
      <c r="E31" s="27" t="s">
        <v>226</v>
      </c>
      <c r="F31" s="28">
        <v>0.2</v>
      </c>
      <c r="G31" s="29">
        <v>5</v>
      </c>
      <c r="H31" s="27" t="s">
        <v>829</v>
      </c>
      <c r="I31" s="27" t="s">
        <v>830</v>
      </c>
      <c r="J31" s="27" t="s">
        <v>794</v>
      </c>
      <c r="K31" s="27" t="s">
        <v>795</v>
      </c>
      <c r="L31" s="27" t="s">
        <v>796</v>
      </c>
      <c r="M31" s="29"/>
      <c r="N31" s="29"/>
      <c r="O31" s="29"/>
      <c r="P31" s="27" t="s">
        <v>101</v>
      </c>
      <c r="Q31" s="27">
        <v>8</v>
      </c>
      <c r="R31" s="14"/>
      <c r="S31" s="14"/>
      <c r="T31" s="30" t="str">
        <f t="shared" si="44"/>
        <v/>
      </c>
      <c r="U31" s="30" t="str">
        <f t="shared" si="45"/>
        <v/>
      </c>
      <c r="V31" s="8" t="str">
        <f t="shared" si="0"/>
        <v/>
      </c>
      <c r="W31" s="8" t="str">
        <f t="shared" si="46"/>
        <v/>
      </c>
      <c r="X31" s="8" t="str">
        <f t="shared" si="47"/>
        <v/>
      </c>
      <c r="Y31" s="8" t="str">
        <f t="shared" si="48"/>
        <v/>
      </c>
      <c r="Z31" s="8" t="str">
        <f t="shared" si="49"/>
        <v/>
      </c>
    </row>
    <row r="32" spans="1:26" ht="15.75" customHeight="1">
      <c r="A32" s="27" t="s">
        <v>832</v>
      </c>
      <c r="B32" s="27" t="s">
        <v>833</v>
      </c>
      <c r="C32" s="27" t="s">
        <v>834</v>
      </c>
      <c r="D32" s="27" t="s">
        <v>835</v>
      </c>
      <c r="E32" s="27" t="s">
        <v>836</v>
      </c>
      <c r="F32" s="28">
        <v>0.25</v>
      </c>
      <c r="G32" s="29">
        <v>5</v>
      </c>
      <c r="H32" s="27" t="s">
        <v>837</v>
      </c>
      <c r="I32" s="27" t="s">
        <v>838</v>
      </c>
      <c r="J32" s="27" t="s">
        <v>839</v>
      </c>
      <c r="K32" s="27" t="s">
        <v>315</v>
      </c>
      <c r="L32" s="27" t="s">
        <v>840</v>
      </c>
      <c r="M32" s="29"/>
      <c r="N32" s="29"/>
      <c r="O32" s="29"/>
      <c r="P32" s="27" t="s">
        <v>101</v>
      </c>
      <c r="Q32" s="27">
        <v>12</v>
      </c>
      <c r="R32" s="14"/>
      <c r="S32" s="14"/>
      <c r="T32" s="30" t="str">
        <f t="shared" si="44"/>
        <v/>
      </c>
      <c r="U32" s="30" t="str">
        <f t="shared" si="45"/>
        <v/>
      </c>
      <c r="V32" s="8" t="str">
        <f t="shared" si="0"/>
        <v/>
      </c>
      <c r="W32" s="8" t="str">
        <f t="shared" si="46"/>
        <v/>
      </c>
      <c r="X32" s="8" t="str">
        <f t="shared" si="47"/>
        <v/>
      </c>
      <c r="Y32" s="8" t="str">
        <f t="shared" si="48"/>
        <v/>
      </c>
      <c r="Z32" s="8" t="str">
        <f t="shared" si="49"/>
        <v/>
      </c>
    </row>
    <row r="33" spans="1:26" ht="15.75" customHeight="1">
      <c r="A33" s="20">
        <v>3.8</v>
      </c>
      <c r="B33" s="20" t="s">
        <v>814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>
        <f>SUM(Q34:Q35)</f>
        <v>25</v>
      </c>
      <c r="R33" s="20"/>
      <c r="S33" s="20"/>
      <c r="T33" s="24">
        <f>SUM(T34:T35)</f>
        <v>0</v>
      </c>
      <c r="U33" s="24" t="str">
        <f>IF(COUNT(T34:T35)=0,"",ROUND(T33/Q33*100,2))</f>
        <v/>
      </c>
      <c r="V33" s="20" t="str">
        <f t="shared" si="0"/>
        <v/>
      </c>
      <c r="W33" s="20">
        <f t="shared" ref="W33:Z33" si="50">SUM(W34:W35)</f>
        <v>0</v>
      </c>
      <c r="X33" s="20">
        <f t="shared" si="50"/>
        <v>0</v>
      </c>
      <c r="Y33" s="20">
        <f t="shared" si="50"/>
        <v>0</v>
      </c>
      <c r="Z33" s="20">
        <f t="shared" si="50"/>
        <v>0</v>
      </c>
    </row>
    <row r="34" spans="1:26" ht="15.75" customHeight="1">
      <c r="A34" s="27" t="s">
        <v>843</v>
      </c>
      <c r="B34" s="27" t="s">
        <v>844</v>
      </c>
      <c r="C34" s="27" t="s">
        <v>844</v>
      </c>
      <c r="D34" s="27" t="s">
        <v>845</v>
      </c>
      <c r="E34" s="27" t="s">
        <v>357</v>
      </c>
      <c r="F34" s="28">
        <v>0.5</v>
      </c>
      <c r="G34" s="29">
        <v>6</v>
      </c>
      <c r="H34" s="27" t="s">
        <v>846</v>
      </c>
      <c r="I34" s="27" t="s">
        <v>830</v>
      </c>
      <c r="J34" s="27" t="s">
        <v>847</v>
      </c>
      <c r="K34" s="27" t="s">
        <v>795</v>
      </c>
      <c r="L34" s="27" t="s">
        <v>796</v>
      </c>
      <c r="M34" s="29"/>
      <c r="N34" s="29"/>
      <c r="O34" s="29"/>
      <c r="P34" s="27" t="s">
        <v>101</v>
      </c>
      <c r="Q34" s="27">
        <v>10</v>
      </c>
      <c r="R34" s="14"/>
      <c r="S34" s="14"/>
      <c r="T34" s="30" t="str">
        <f t="shared" ref="T34:T35" si="51">IF(OR(S34="",R34="",R34=0),"",ROUND(Q34*MIN(S34/R34,1),2))</f>
        <v/>
      </c>
      <c r="U34" s="30" t="str">
        <f t="shared" ref="U34:U35" si="52">IF(T34="","",ROUND(T34/Q34*100,2))</f>
        <v/>
      </c>
      <c r="V34" s="8" t="str">
        <f t="shared" si="0"/>
        <v/>
      </c>
      <c r="W34" s="8" t="str">
        <f t="shared" ref="W34:W35" si="53">IF($V34="Y",1,"")</f>
        <v/>
      </c>
      <c r="X34" s="8" t="str">
        <f t="shared" ref="X34:X35" si="54">IF($V34="C",1,"")</f>
        <v/>
      </c>
      <c r="Y34" s="8" t="str">
        <f t="shared" ref="Y34:Y35" si="55">IF($V34="W",1,"")</f>
        <v/>
      </c>
      <c r="Z34" s="8" t="str">
        <f t="shared" ref="Z34:Z35" si="56">IF($V34="D",1,"")</f>
        <v/>
      </c>
    </row>
    <row r="35" spans="1:26" ht="15.75" customHeight="1">
      <c r="A35" s="27" t="s">
        <v>848</v>
      </c>
      <c r="B35" s="27" t="s">
        <v>849</v>
      </c>
      <c r="C35" s="27" t="s">
        <v>849</v>
      </c>
      <c r="D35" s="27" t="s">
        <v>850</v>
      </c>
      <c r="E35" s="27" t="s">
        <v>357</v>
      </c>
      <c r="F35" s="28">
        <v>1</v>
      </c>
      <c r="G35" s="29">
        <v>12</v>
      </c>
      <c r="H35" s="27" t="s">
        <v>851</v>
      </c>
      <c r="I35" s="27" t="s">
        <v>852</v>
      </c>
      <c r="J35" s="27" t="s">
        <v>839</v>
      </c>
      <c r="K35" s="27" t="s">
        <v>315</v>
      </c>
      <c r="L35" s="27" t="s">
        <v>840</v>
      </c>
      <c r="M35" s="29"/>
      <c r="N35" s="29"/>
      <c r="O35" s="29"/>
      <c r="P35" s="27" t="s">
        <v>101</v>
      </c>
      <c r="Q35" s="27">
        <v>15</v>
      </c>
      <c r="R35" s="14"/>
      <c r="S35" s="14"/>
      <c r="T35" s="30" t="str">
        <f t="shared" si="51"/>
        <v/>
      </c>
      <c r="U35" s="30" t="str">
        <f t="shared" si="52"/>
        <v/>
      </c>
      <c r="V35" s="8" t="str">
        <f t="shared" si="0"/>
        <v/>
      </c>
      <c r="W35" s="8" t="str">
        <f t="shared" si="53"/>
        <v/>
      </c>
      <c r="X35" s="8" t="str">
        <f t="shared" si="54"/>
        <v/>
      </c>
      <c r="Y35" s="8" t="str">
        <f t="shared" si="55"/>
        <v/>
      </c>
      <c r="Z35" s="8" t="str">
        <f t="shared" si="56"/>
        <v/>
      </c>
    </row>
    <row r="36" spans="1:26" ht="15.75" customHeight="1">
      <c r="A36" s="5" t="s">
        <v>66</v>
      </c>
      <c r="B36" s="5" t="s">
        <v>854</v>
      </c>
      <c r="P36" s="26"/>
      <c r="Q36" s="26">
        <f>Q8+Q12+Q15+Q19+Q22+Q26+Q29+Q33</f>
        <v>120</v>
      </c>
      <c r="R36" s="26"/>
      <c r="S36" s="26"/>
      <c r="T36" s="32">
        <f>T8+T12+T15+T19+T22+T26+T29+T33</f>
        <v>3.83</v>
      </c>
      <c r="U36" s="32">
        <f>IF(T36=0,"",ROUND(T36/Q36*100,2))</f>
        <v>3.19</v>
      </c>
      <c r="V36" s="26" t="str">
        <f t="shared" si="0"/>
        <v>D</v>
      </c>
      <c r="W36" s="26">
        <f t="shared" ref="W36:Z36" si="57">W8+W12+W15+W19+W22+W26+W29+W33</f>
        <v>0</v>
      </c>
      <c r="X36" s="26">
        <f t="shared" si="57"/>
        <v>0</v>
      </c>
      <c r="Y36" s="26">
        <f t="shared" si="57"/>
        <v>1</v>
      </c>
      <c r="Z36" s="26">
        <f t="shared" si="57"/>
        <v>2</v>
      </c>
    </row>
    <row r="37" spans="1:26" ht="15.75" customHeight="1">
      <c r="A37" s="5"/>
      <c r="B37" s="5"/>
      <c r="C37" s="5"/>
      <c r="D37" s="5"/>
      <c r="E37" s="5"/>
      <c r="F37" s="3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34"/>
      <c r="U37" s="34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3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34"/>
      <c r="U38" s="34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3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34"/>
      <c r="U39" s="34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3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34"/>
      <c r="U40" s="34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34"/>
      <c r="U41" s="34"/>
      <c r="V41" s="5"/>
      <c r="W41" s="5"/>
      <c r="X41" s="5"/>
      <c r="Y41" s="5"/>
      <c r="Z41" s="5"/>
    </row>
  </sheetData>
  <mergeCells count="4">
    <mergeCell ref="A2:L2"/>
    <mergeCell ref="A3:L3"/>
    <mergeCell ref="A4:L4"/>
    <mergeCell ref="A5:L5"/>
  </mergeCells>
  <conditionalFormatting sqref="V8:V36">
    <cfRule type="cellIs" dxfId="37" priority="1" stopIfTrue="1" operator="equal">
      <formula>0</formula>
    </cfRule>
    <cfRule type="cellIs" dxfId="36" priority="2" stopIfTrue="1" operator="equal">
      <formula>0</formula>
    </cfRule>
    <cfRule type="cellIs" dxfId="35" priority="3" stopIfTrue="1" operator="equal">
      <formula>0</formula>
    </cfRule>
    <cfRule type="cellIs" dxfId="34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8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859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860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4.0999999999999996</v>
      </c>
      <c r="B8" s="20" t="s">
        <v>862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SUM(Q9)</f>
        <v>20</v>
      </c>
      <c r="R8" s="20"/>
      <c r="S8" s="20"/>
      <c r="T8" s="24">
        <f>SUM(T9)</f>
        <v>0</v>
      </c>
      <c r="U8" s="24" t="str">
        <f>IF(COUNT(T9)=0,"",ROUND(T8/Q8*100,2))</f>
        <v/>
      </c>
      <c r="V8" s="20" t="str">
        <f t="shared" ref="V8:V33" si="0">IF(U8="","",IF(U8&gt;YT*100,"Y",IF(U8&gt;=CT*100,"C",IF(U8&gt;=WT*100,"W","D"))))</f>
        <v/>
      </c>
      <c r="W8" s="20">
        <f t="shared" ref="W8:Z8" si="1">SUM(W9)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45">
      <c r="A9" s="27" t="s">
        <v>868</v>
      </c>
      <c r="B9" s="27" t="s">
        <v>862</v>
      </c>
      <c r="C9" s="27" t="s">
        <v>862</v>
      </c>
      <c r="D9" s="27" t="s">
        <v>869</v>
      </c>
      <c r="E9" s="27" t="s">
        <v>870</v>
      </c>
      <c r="F9" s="28">
        <v>0.05</v>
      </c>
      <c r="G9" s="29">
        <v>10</v>
      </c>
      <c r="H9" s="27" t="s">
        <v>871</v>
      </c>
      <c r="I9" s="27" t="s">
        <v>872</v>
      </c>
      <c r="J9" s="27" t="s">
        <v>873</v>
      </c>
      <c r="K9" s="27" t="s">
        <v>874</v>
      </c>
      <c r="L9" s="27" t="s">
        <v>875</v>
      </c>
      <c r="M9" s="29"/>
      <c r="N9" s="29"/>
      <c r="O9" s="29"/>
      <c r="P9" s="27" t="s">
        <v>101</v>
      </c>
      <c r="Q9" s="27">
        <v>20</v>
      </c>
      <c r="R9" s="14"/>
      <c r="S9" s="14"/>
      <c r="T9" s="30" t="str">
        <f>IF(OR(S9="",R9="",R9=0),"",ROUND(Q9*MIN(S9/R9,1),2))</f>
        <v/>
      </c>
      <c r="U9" s="30" t="str">
        <f>IF(T9="","",ROUND(T9/Q9*100,2))</f>
        <v/>
      </c>
      <c r="V9" s="8" t="str">
        <f t="shared" si="0"/>
        <v/>
      </c>
      <c r="W9" s="8" t="str">
        <f>IF($V9="Y",1,"")</f>
        <v/>
      </c>
      <c r="X9" s="8" t="str">
        <f>IF($V9="C",1,"")</f>
        <v/>
      </c>
      <c r="Y9" s="8" t="str">
        <f>IF($V9="W",1,"")</f>
        <v/>
      </c>
      <c r="Z9" s="8" t="str">
        <f>IF($V9="D",1,"")</f>
        <v/>
      </c>
    </row>
    <row r="10" spans="1:26">
      <c r="A10" s="20">
        <v>4.2</v>
      </c>
      <c r="B10" s="20" t="s">
        <v>886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>SUM(Q11:Q12)</f>
        <v>15</v>
      </c>
      <c r="R10" s="20"/>
      <c r="S10" s="20"/>
      <c r="T10" s="24">
        <f>SUM(T11:T12)</f>
        <v>0</v>
      </c>
      <c r="U10" s="24" t="str">
        <f>IF(COUNT(T11:T12)=0,"",ROUND(T10/Q10*100,2))</f>
        <v/>
      </c>
      <c r="V10" s="20" t="str">
        <f t="shared" si="0"/>
        <v/>
      </c>
      <c r="W10" s="20">
        <f t="shared" ref="W10:Z10" si="2">SUM(W11:W12)</f>
        <v>0</v>
      </c>
      <c r="X10" s="20">
        <f t="shared" si="2"/>
        <v>0</v>
      </c>
      <c r="Y10" s="20">
        <f t="shared" si="2"/>
        <v>0</v>
      </c>
      <c r="Z10" s="20">
        <f t="shared" si="2"/>
        <v>0</v>
      </c>
    </row>
    <row r="11" spans="1:26" ht="45">
      <c r="A11" s="27" t="s">
        <v>889</v>
      </c>
      <c r="B11" s="27" t="s">
        <v>890</v>
      </c>
      <c r="C11" s="27" t="s">
        <v>890</v>
      </c>
      <c r="D11" s="27" t="s">
        <v>892</v>
      </c>
      <c r="E11" s="27" t="s">
        <v>893</v>
      </c>
      <c r="F11" s="28">
        <v>0.1</v>
      </c>
      <c r="G11" s="29">
        <v>10</v>
      </c>
      <c r="H11" s="27" t="s">
        <v>894</v>
      </c>
      <c r="I11" s="27" t="s">
        <v>512</v>
      </c>
      <c r="J11" s="27" t="s">
        <v>513</v>
      </c>
      <c r="K11" s="27" t="s">
        <v>361</v>
      </c>
      <c r="L11" s="27" t="s">
        <v>598</v>
      </c>
      <c r="M11" s="29"/>
      <c r="N11" s="29"/>
      <c r="O11" s="29"/>
      <c r="P11" s="27" t="s">
        <v>101</v>
      </c>
      <c r="Q11" s="27">
        <v>10</v>
      </c>
      <c r="R11" s="14"/>
      <c r="S11" s="14"/>
      <c r="T11" s="30" t="str">
        <f t="shared" ref="T11:T12" si="3">IF(OR(S11="",R11="",R11=0),"",ROUND(Q11*MIN(S11/R11,1),2))</f>
        <v/>
      </c>
      <c r="U11" s="30" t="str">
        <f t="shared" ref="U11:U12" si="4">IF(T11="","",ROUND(T11/Q11*100,2))</f>
        <v/>
      </c>
      <c r="V11" s="8" t="str">
        <f t="shared" si="0"/>
        <v/>
      </c>
      <c r="W11" s="8" t="str">
        <f t="shared" ref="W11:W12" si="5">IF($V11="Y",1,"")</f>
        <v/>
      </c>
      <c r="X11" s="8" t="str">
        <f t="shared" ref="X11:X12" si="6">IF($V11="C",1,"")</f>
        <v/>
      </c>
      <c r="Y11" s="8" t="str">
        <f t="shared" ref="Y11:Y12" si="7">IF($V11="W",1,"")</f>
        <v/>
      </c>
      <c r="Z11" s="8" t="str">
        <f t="shared" ref="Z11:Z12" si="8">IF($V11="D",1,"")</f>
        <v/>
      </c>
    </row>
    <row r="12" spans="1:26" ht="30">
      <c r="A12" s="27" t="s">
        <v>900</v>
      </c>
      <c r="B12" s="27" t="s">
        <v>901</v>
      </c>
      <c r="C12" s="27" t="s">
        <v>901</v>
      </c>
      <c r="D12" s="27" t="s">
        <v>902</v>
      </c>
      <c r="E12" s="27" t="s">
        <v>893</v>
      </c>
      <c r="F12" s="28">
        <v>0.1</v>
      </c>
      <c r="G12" s="29">
        <v>10</v>
      </c>
      <c r="H12" s="27" t="s">
        <v>903</v>
      </c>
      <c r="I12" s="27" t="s">
        <v>631</v>
      </c>
      <c r="J12" s="27" t="s">
        <v>513</v>
      </c>
      <c r="K12" s="27" t="s">
        <v>361</v>
      </c>
      <c r="L12" s="27" t="s">
        <v>598</v>
      </c>
      <c r="M12" s="29"/>
      <c r="N12" s="29"/>
      <c r="O12" s="29"/>
      <c r="P12" s="27" t="s">
        <v>101</v>
      </c>
      <c r="Q12" s="27">
        <v>5</v>
      </c>
      <c r="R12" s="14"/>
      <c r="S12" s="14"/>
      <c r="T12" s="30" t="str">
        <f t="shared" si="3"/>
        <v/>
      </c>
      <c r="U12" s="30" t="str">
        <f t="shared" si="4"/>
        <v/>
      </c>
      <c r="V12" s="8" t="str">
        <f t="shared" si="0"/>
        <v/>
      </c>
      <c r="W12" s="8" t="str">
        <f t="shared" si="5"/>
        <v/>
      </c>
      <c r="X12" s="8" t="str">
        <f t="shared" si="6"/>
        <v/>
      </c>
      <c r="Y12" s="8" t="str">
        <f t="shared" si="7"/>
        <v/>
      </c>
      <c r="Z12" s="8" t="str">
        <f t="shared" si="8"/>
        <v/>
      </c>
    </row>
    <row r="13" spans="1:26">
      <c r="A13" s="20">
        <v>4.3</v>
      </c>
      <c r="B13" s="20" t="s">
        <v>913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>SUM(Q14:Q15)</f>
        <v>10</v>
      </c>
      <c r="R13" s="20"/>
      <c r="S13" s="20"/>
      <c r="T13" s="24">
        <f>SUM(T14:T15)</f>
        <v>0</v>
      </c>
      <c r="U13" s="24" t="str">
        <f>IF(COUNT(T14:T15)=0,"",ROUND(T13/Q13*100,2))</f>
        <v/>
      </c>
      <c r="V13" s="20" t="str">
        <f t="shared" si="0"/>
        <v/>
      </c>
      <c r="W13" s="20">
        <f t="shared" ref="W13:Z13" si="9">SUM(W14:W15)</f>
        <v>0</v>
      </c>
      <c r="X13" s="20">
        <f t="shared" si="9"/>
        <v>0</v>
      </c>
      <c r="Y13" s="20">
        <f t="shared" si="9"/>
        <v>0</v>
      </c>
      <c r="Z13" s="20">
        <f t="shared" si="9"/>
        <v>0</v>
      </c>
    </row>
    <row r="14" spans="1:26" ht="30">
      <c r="A14" s="27" t="s">
        <v>916</v>
      </c>
      <c r="B14" s="27" t="s">
        <v>917</v>
      </c>
      <c r="C14" s="27" t="s">
        <v>917</v>
      </c>
      <c r="D14" s="27" t="s">
        <v>918</v>
      </c>
      <c r="E14" s="27" t="s">
        <v>172</v>
      </c>
      <c r="F14" s="28">
        <v>0.1</v>
      </c>
      <c r="G14" s="29">
        <v>10</v>
      </c>
      <c r="H14" s="27" t="s">
        <v>919</v>
      </c>
      <c r="I14" s="27" t="s">
        <v>512</v>
      </c>
      <c r="J14" s="27" t="s">
        <v>513</v>
      </c>
      <c r="K14" s="27" t="s">
        <v>361</v>
      </c>
      <c r="L14" s="27" t="s">
        <v>912</v>
      </c>
      <c r="M14" s="29"/>
      <c r="N14" s="29"/>
      <c r="O14" s="29"/>
      <c r="P14" s="27" t="s">
        <v>101</v>
      </c>
      <c r="Q14" s="27">
        <v>5</v>
      </c>
      <c r="R14" s="14"/>
      <c r="S14" s="14"/>
      <c r="T14" s="30" t="str">
        <f t="shared" ref="T14:T15" si="10">IF(OR(S14="",R14="",R14=0),"",ROUND(Q14*MIN(S14/R14,1),2))</f>
        <v/>
      </c>
      <c r="U14" s="30" t="str">
        <f t="shared" ref="U14:U15" si="11">IF(T14="","",ROUND(T14/Q14*100,2))</f>
        <v/>
      </c>
      <c r="V14" s="8" t="str">
        <f t="shared" si="0"/>
        <v/>
      </c>
      <c r="W14" s="8" t="str">
        <f t="shared" ref="W14:W15" si="12">IF($V14="Y",1,"")</f>
        <v/>
      </c>
      <c r="X14" s="8" t="str">
        <f t="shared" ref="X14:X15" si="13">IF($V14="C",1,"")</f>
        <v/>
      </c>
      <c r="Y14" s="8" t="str">
        <f t="shared" ref="Y14:Y15" si="14">IF($V14="W",1,"")</f>
        <v/>
      </c>
      <c r="Z14" s="8" t="str">
        <f t="shared" ref="Z14:Z15" si="15">IF($V14="D",1,"")</f>
        <v/>
      </c>
    </row>
    <row r="15" spans="1:26" ht="30">
      <c r="A15" s="27" t="s">
        <v>927</v>
      </c>
      <c r="B15" s="27" t="s">
        <v>928</v>
      </c>
      <c r="C15" s="27" t="s">
        <v>928</v>
      </c>
      <c r="D15" s="27" t="s">
        <v>929</v>
      </c>
      <c r="E15" s="27" t="s">
        <v>172</v>
      </c>
      <c r="F15" s="28">
        <v>0.1</v>
      </c>
      <c r="G15" s="29">
        <v>10</v>
      </c>
      <c r="H15" s="27" t="s">
        <v>932</v>
      </c>
      <c r="I15" s="27" t="s">
        <v>933</v>
      </c>
      <c r="J15" s="27" t="s">
        <v>934</v>
      </c>
      <c r="K15" s="27" t="s">
        <v>935</v>
      </c>
      <c r="L15" s="27" t="s">
        <v>937</v>
      </c>
      <c r="M15" s="29"/>
      <c r="N15" s="29"/>
      <c r="O15" s="29"/>
      <c r="P15" s="27" t="s">
        <v>101</v>
      </c>
      <c r="Q15" s="27">
        <v>5</v>
      </c>
      <c r="R15" s="14"/>
      <c r="S15" s="14"/>
      <c r="T15" s="30" t="str">
        <f t="shared" si="10"/>
        <v/>
      </c>
      <c r="U15" s="30" t="str">
        <f t="shared" si="11"/>
        <v/>
      </c>
      <c r="V15" s="8" t="str">
        <f t="shared" si="0"/>
        <v/>
      </c>
      <c r="W15" s="8" t="str">
        <f t="shared" si="12"/>
        <v/>
      </c>
      <c r="X15" s="8" t="str">
        <f t="shared" si="13"/>
        <v/>
      </c>
      <c r="Y15" s="8" t="str">
        <f t="shared" si="14"/>
        <v/>
      </c>
      <c r="Z15" s="8" t="str">
        <f t="shared" si="15"/>
        <v/>
      </c>
    </row>
    <row r="16" spans="1:26">
      <c r="A16" s="20">
        <v>4.4000000000000004</v>
      </c>
      <c r="B16" s="20" t="s">
        <v>942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>SUM(Q17:Q18)</f>
        <v>10</v>
      </c>
      <c r="R16" s="20"/>
      <c r="S16" s="20"/>
      <c r="T16" s="24">
        <f>SUM(T17:T18)</f>
        <v>0</v>
      </c>
      <c r="U16" s="24" t="str">
        <f>IF(COUNT(T17:T18)=0,"",ROUND(T16/Q16*100,2))</f>
        <v/>
      </c>
      <c r="V16" s="20" t="str">
        <f t="shared" si="0"/>
        <v/>
      </c>
      <c r="W16" s="20">
        <f t="shared" ref="W16:Z16" si="16">SUM(W17:W18)</f>
        <v>0</v>
      </c>
      <c r="X16" s="20">
        <f t="shared" si="16"/>
        <v>0</v>
      </c>
      <c r="Y16" s="20">
        <f t="shared" si="16"/>
        <v>0</v>
      </c>
      <c r="Z16" s="20">
        <f t="shared" si="16"/>
        <v>0</v>
      </c>
    </row>
    <row r="17" spans="1:26" ht="30">
      <c r="A17" s="27" t="s">
        <v>947</v>
      </c>
      <c r="B17" s="27" t="s">
        <v>948</v>
      </c>
      <c r="C17" s="27" t="s">
        <v>948</v>
      </c>
      <c r="D17" s="27" t="s">
        <v>949</v>
      </c>
      <c r="E17" s="27" t="s">
        <v>172</v>
      </c>
      <c r="F17" s="28">
        <v>0.1</v>
      </c>
      <c r="G17" s="29">
        <v>10</v>
      </c>
      <c r="H17" s="27" t="s">
        <v>919</v>
      </c>
      <c r="I17" s="27" t="s">
        <v>512</v>
      </c>
      <c r="J17" s="27" t="s">
        <v>513</v>
      </c>
      <c r="K17" s="27" t="s">
        <v>361</v>
      </c>
      <c r="L17" s="27" t="s">
        <v>912</v>
      </c>
      <c r="M17" s="29"/>
      <c r="N17" s="29"/>
      <c r="O17" s="29"/>
      <c r="P17" s="27" t="s">
        <v>101</v>
      </c>
      <c r="Q17" s="27">
        <v>5</v>
      </c>
      <c r="R17" s="14"/>
      <c r="S17" s="14"/>
      <c r="T17" s="30" t="str">
        <f t="shared" ref="T17:T18" si="17">IF(OR(S17="",R17="",R17=0),"",ROUND(Q17*MIN(S17/R17,1),2))</f>
        <v/>
      </c>
      <c r="U17" s="30" t="str">
        <f t="shared" ref="U17:U18" si="18">IF(T17="","",ROUND(T17/Q17*100,2))</f>
        <v/>
      </c>
      <c r="V17" s="8" t="str">
        <f t="shared" si="0"/>
        <v/>
      </c>
      <c r="W17" s="8" t="str">
        <f t="shared" ref="W17:W18" si="19">IF($V17="Y",1,"")</f>
        <v/>
      </c>
      <c r="X17" s="8" t="str">
        <f t="shared" ref="X17:X18" si="20">IF($V17="C",1,"")</f>
        <v/>
      </c>
      <c r="Y17" s="8" t="str">
        <f t="shared" ref="Y17:Y18" si="21">IF($V17="W",1,"")</f>
        <v/>
      </c>
      <c r="Z17" s="8" t="str">
        <f t="shared" ref="Z17:Z18" si="22">IF($V17="D",1,"")</f>
        <v/>
      </c>
    </row>
    <row r="18" spans="1:26" ht="30">
      <c r="A18" s="27" t="s">
        <v>958</v>
      </c>
      <c r="B18" s="27" t="s">
        <v>959</v>
      </c>
      <c r="C18" s="27" t="s">
        <v>959</v>
      </c>
      <c r="D18" s="27" t="s">
        <v>929</v>
      </c>
      <c r="E18" s="27" t="s">
        <v>172</v>
      </c>
      <c r="F18" s="28">
        <v>0.1</v>
      </c>
      <c r="G18" s="29">
        <v>10</v>
      </c>
      <c r="H18" s="27" t="s">
        <v>960</v>
      </c>
      <c r="I18" s="27" t="s">
        <v>933</v>
      </c>
      <c r="J18" s="27" t="s">
        <v>934</v>
      </c>
      <c r="K18" s="27" t="s">
        <v>935</v>
      </c>
      <c r="L18" s="27" t="s">
        <v>937</v>
      </c>
      <c r="M18" s="29"/>
      <c r="N18" s="29"/>
      <c r="O18" s="29"/>
      <c r="P18" s="27" t="s">
        <v>101</v>
      </c>
      <c r="Q18" s="27">
        <v>5</v>
      </c>
      <c r="R18" s="14"/>
      <c r="S18" s="14"/>
      <c r="T18" s="30" t="str">
        <f t="shared" si="17"/>
        <v/>
      </c>
      <c r="U18" s="30" t="str">
        <f t="shared" si="18"/>
        <v/>
      </c>
      <c r="V18" s="8" t="str">
        <f t="shared" si="0"/>
        <v/>
      </c>
      <c r="W18" s="8" t="str">
        <f t="shared" si="19"/>
        <v/>
      </c>
      <c r="X18" s="8" t="str">
        <f t="shared" si="20"/>
        <v/>
      </c>
      <c r="Y18" s="8" t="str">
        <f t="shared" si="21"/>
        <v/>
      </c>
      <c r="Z18" s="8" t="str">
        <f t="shared" si="22"/>
        <v/>
      </c>
    </row>
    <row r="19" spans="1:26">
      <c r="A19" s="20">
        <v>4.5</v>
      </c>
      <c r="B19" s="20" t="s">
        <v>963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>SUM(Q20:Q21)</f>
        <v>10</v>
      </c>
      <c r="R19" s="20"/>
      <c r="S19" s="20"/>
      <c r="T19" s="24">
        <f>SUM(T20:T21)</f>
        <v>0</v>
      </c>
      <c r="U19" s="24" t="str">
        <f>IF(COUNT(T20:T21)=0,"",ROUND(T19/Q19*100,2))</f>
        <v/>
      </c>
      <c r="V19" s="20" t="str">
        <f t="shared" si="0"/>
        <v/>
      </c>
      <c r="W19" s="20">
        <f t="shared" ref="W19:Z19" si="23">SUM(W20:W21)</f>
        <v>0</v>
      </c>
      <c r="X19" s="20">
        <f t="shared" si="23"/>
        <v>0</v>
      </c>
      <c r="Y19" s="20">
        <f t="shared" si="23"/>
        <v>0</v>
      </c>
      <c r="Z19" s="20">
        <f t="shared" si="23"/>
        <v>0</v>
      </c>
    </row>
    <row r="20" spans="1:26" ht="30">
      <c r="A20" s="27" t="s">
        <v>971</v>
      </c>
      <c r="B20" s="27" t="s">
        <v>972</v>
      </c>
      <c r="C20" s="27" t="s">
        <v>972</v>
      </c>
      <c r="D20" s="27" t="s">
        <v>973</v>
      </c>
      <c r="E20" s="27" t="s">
        <v>172</v>
      </c>
      <c r="F20" s="28">
        <v>0.1</v>
      </c>
      <c r="G20" s="29">
        <v>10</v>
      </c>
      <c r="H20" s="27" t="s">
        <v>919</v>
      </c>
      <c r="I20" s="27" t="s">
        <v>512</v>
      </c>
      <c r="J20" s="27" t="s">
        <v>513</v>
      </c>
      <c r="K20" s="27" t="s">
        <v>361</v>
      </c>
      <c r="L20" s="27" t="s">
        <v>912</v>
      </c>
      <c r="M20" s="29"/>
      <c r="N20" s="29"/>
      <c r="O20" s="29"/>
      <c r="P20" s="27" t="s">
        <v>101</v>
      </c>
      <c r="Q20" s="27">
        <v>5</v>
      </c>
      <c r="R20" s="14"/>
      <c r="S20" s="14"/>
      <c r="T20" s="30" t="str">
        <f t="shared" ref="T20:T21" si="24">IF(OR(S20="",R20="",R20=0),"",ROUND(Q20*MIN(S20/R20,1),2))</f>
        <v/>
      </c>
      <c r="U20" s="30" t="str">
        <f t="shared" ref="U20:U21" si="25">IF(T20="","",ROUND(T20/Q20*100,2))</f>
        <v/>
      </c>
      <c r="V20" s="8" t="str">
        <f t="shared" si="0"/>
        <v/>
      </c>
      <c r="W20" s="8" t="str">
        <f t="shared" ref="W20:W21" si="26">IF($V20="Y",1,"")</f>
        <v/>
      </c>
      <c r="X20" s="8" t="str">
        <f t="shared" ref="X20:X21" si="27">IF($V20="C",1,"")</f>
        <v/>
      </c>
      <c r="Y20" s="8" t="str">
        <f t="shared" ref="Y20:Y21" si="28">IF($V20="W",1,"")</f>
        <v/>
      </c>
      <c r="Z20" s="8" t="str">
        <f t="shared" ref="Z20:Z21" si="29">IF($V20="D",1,"")</f>
        <v/>
      </c>
    </row>
    <row r="21" spans="1:26" ht="15.75" customHeight="1">
      <c r="A21" s="27" t="s">
        <v>976</v>
      </c>
      <c r="B21" s="27" t="s">
        <v>977</v>
      </c>
      <c r="C21" s="27" t="s">
        <v>977</v>
      </c>
      <c r="D21" s="27" t="s">
        <v>929</v>
      </c>
      <c r="E21" s="27" t="s">
        <v>172</v>
      </c>
      <c r="F21" s="28">
        <v>0.1</v>
      </c>
      <c r="G21" s="29">
        <v>10</v>
      </c>
      <c r="H21" s="27" t="s">
        <v>960</v>
      </c>
      <c r="I21" s="27" t="s">
        <v>933</v>
      </c>
      <c r="J21" s="27" t="s">
        <v>934</v>
      </c>
      <c r="K21" s="27" t="s">
        <v>935</v>
      </c>
      <c r="L21" s="27" t="s">
        <v>937</v>
      </c>
      <c r="M21" s="29"/>
      <c r="N21" s="29"/>
      <c r="O21" s="29"/>
      <c r="P21" s="27" t="s">
        <v>101</v>
      </c>
      <c r="Q21" s="27">
        <v>5</v>
      </c>
      <c r="R21" s="14"/>
      <c r="S21" s="14"/>
      <c r="T21" s="30" t="str">
        <f t="shared" si="24"/>
        <v/>
      </c>
      <c r="U21" s="30" t="str">
        <f t="shared" si="25"/>
        <v/>
      </c>
      <c r="V21" s="8" t="str">
        <f t="shared" si="0"/>
        <v/>
      </c>
      <c r="W21" s="8" t="str">
        <f t="shared" si="26"/>
        <v/>
      </c>
      <c r="X21" s="8" t="str">
        <f t="shared" si="27"/>
        <v/>
      </c>
      <c r="Y21" s="8" t="str">
        <f t="shared" si="28"/>
        <v/>
      </c>
      <c r="Z21" s="8" t="str">
        <f t="shared" si="29"/>
        <v/>
      </c>
    </row>
    <row r="22" spans="1:26" ht="15.75" customHeight="1">
      <c r="A22" s="20">
        <v>4.5999999999999996</v>
      </c>
      <c r="B22" s="20" t="s">
        <v>891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>SUM(Q23:Q26)</f>
        <v>30</v>
      </c>
      <c r="R22" s="20"/>
      <c r="S22" s="20"/>
      <c r="T22" s="24">
        <f>SUM(T23:T26)</f>
        <v>0</v>
      </c>
      <c r="U22" s="24" t="str">
        <f>IF(COUNT(T23:T26)=0,"",ROUND(T22/Q22*100,2))</f>
        <v/>
      </c>
      <c r="V22" s="20" t="str">
        <f t="shared" si="0"/>
        <v/>
      </c>
      <c r="W22" s="20">
        <f t="shared" ref="W22:Z22" si="30">SUM(W23:W26)</f>
        <v>0</v>
      </c>
      <c r="X22" s="20">
        <f t="shared" si="30"/>
        <v>0</v>
      </c>
      <c r="Y22" s="20">
        <f t="shared" si="30"/>
        <v>0</v>
      </c>
      <c r="Z22" s="20">
        <f t="shared" si="30"/>
        <v>0</v>
      </c>
    </row>
    <row r="23" spans="1:26" ht="15.75" customHeight="1">
      <c r="A23" s="27" t="s">
        <v>980</v>
      </c>
      <c r="B23" s="27" t="s">
        <v>981</v>
      </c>
      <c r="C23" s="27" t="s">
        <v>981</v>
      </c>
      <c r="D23" s="27" t="s">
        <v>982</v>
      </c>
      <c r="E23" s="27" t="s">
        <v>983</v>
      </c>
      <c r="F23" s="28">
        <v>0.1</v>
      </c>
      <c r="G23" s="29">
        <v>10</v>
      </c>
      <c r="H23" s="27" t="s">
        <v>984</v>
      </c>
      <c r="I23" s="27" t="s">
        <v>985</v>
      </c>
      <c r="J23" s="27" t="s">
        <v>513</v>
      </c>
      <c r="K23" s="27" t="s">
        <v>597</v>
      </c>
      <c r="L23" s="27" t="s">
        <v>598</v>
      </c>
      <c r="M23" s="29"/>
      <c r="N23" s="29"/>
      <c r="O23" s="29"/>
      <c r="P23" s="27" t="s">
        <v>101</v>
      </c>
      <c r="Q23" s="27">
        <v>15</v>
      </c>
      <c r="R23" s="14"/>
      <c r="S23" s="14"/>
      <c r="T23" s="30" t="str">
        <f t="shared" ref="T23:T26" si="31">IF(OR(S23="",R23="",R23=0),"",ROUND(Q23*MIN(S23/R23,1),2))</f>
        <v/>
      </c>
      <c r="U23" s="30" t="str">
        <f t="shared" ref="U23:U26" si="32">IF(T23="","",ROUND(T23/Q23*100,2))</f>
        <v/>
      </c>
      <c r="V23" s="8" t="str">
        <f t="shared" si="0"/>
        <v/>
      </c>
      <c r="W23" s="8" t="str">
        <f t="shared" ref="W23:W26" si="33">IF($V23="Y",1,"")</f>
        <v/>
      </c>
      <c r="X23" s="8" t="str">
        <f t="shared" ref="X23:X26" si="34">IF($V23="C",1,"")</f>
        <v/>
      </c>
      <c r="Y23" s="8" t="str">
        <f t="shared" ref="Y23:Y26" si="35">IF($V23="W",1,"")</f>
        <v/>
      </c>
      <c r="Z23" s="8" t="str">
        <f t="shared" ref="Z23:Z26" si="36">IF($V23="D",1,"")</f>
        <v/>
      </c>
    </row>
    <row r="24" spans="1:26" ht="15.75" customHeight="1">
      <c r="A24" s="27" t="s">
        <v>990</v>
      </c>
      <c r="B24" s="27" t="s">
        <v>991</v>
      </c>
      <c r="C24" s="27" t="s">
        <v>991</v>
      </c>
      <c r="D24" s="27" t="s">
        <v>992</v>
      </c>
      <c r="E24" s="27" t="s">
        <v>172</v>
      </c>
      <c r="F24" s="28">
        <v>0.2</v>
      </c>
      <c r="G24" s="29">
        <v>5</v>
      </c>
      <c r="H24" s="27" t="s">
        <v>903</v>
      </c>
      <c r="I24" s="27" t="s">
        <v>631</v>
      </c>
      <c r="J24" s="27" t="s">
        <v>513</v>
      </c>
      <c r="K24" s="27" t="s">
        <v>597</v>
      </c>
      <c r="L24" s="27" t="s">
        <v>598</v>
      </c>
      <c r="M24" s="29"/>
      <c r="N24" s="29"/>
      <c r="O24" s="29"/>
      <c r="P24" s="27" t="s">
        <v>101</v>
      </c>
      <c r="Q24" s="27">
        <v>8</v>
      </c>
      <c r="R24" s="14"/>
      <c r="S24" s="14"/>
      <c r="T24" s="30" t="str">
        <f t="shared" si="31"/>
        <v/>
      </c>
      <c r="U24" s="30" t="str">
        <f t="shared" si="32"/>
        <v/>
      </c>
      <c r="V24" s="8" t="str">
        <f t="shared" si="0"/>
        <v/>
      </c>
      <c r="W24" s="8" t="str">
        <f t="shared" si="33"/>
        <v/>
      </c>
      <c r="X24" s="8" t="str">
        <f t="shared" si="34"/>
        <v/>
      </c>
      <c r="Y24" s="8" t="str">
        <f t="shared" si="35"/>
        <v/>
      </c>
      <c r="Z24" s="8" t="str">
        <f t="shared" si="36"/>
        <v/>
      </c>
    </row>
    <row r="25" spans="1:26" ht="15.75" customHeight="1">
      <c r="A25" s="27" t="s">
        <v>993</v>
      </c>
      <c r="B25" s="27" t="s">
        <v>994</v>
      </c>
      <c r="C25" s="27" t="s">
        <v>994</v>
      </c>
      <c r="D25" s="27" t="s">
        <v>995</v>
      </c>
      <c r="E25" s="27" t="s">
        <v>996</v>
      </c>
      <c r="F25" s="28">
        <v>1</v>
      </c>
      <c r="G25" s="29">
        <v>3</v>
      </c>
      <c r="H25" s="27" t="s">
        <v>997</v>
      </c>
      <c r="I25" s="27" t="s">
        <v>730</v>
      </c>
      <c r="J25" s="27" t="s">
        <v>260</v>
      </c>
      <c r="K25" s="27" t="s">
        <v>261</v>
      </c>
      <c r="L25" s="27" t="s">
        <v>515</v>
      </c>
      <c r="M25" s="29"/>
      <c r="N25" s="29"/>
      <c r="O25" s="29"/>
      <c r="P25" s="27" t="s">
        <v>263</v>
      </c>
      <c r="Q25" s="27">
        <v>2</v>
      </c>
      <c r="R25" s="14"/>
      <c r="S25" s="14"/>
      <c r="T25" s="30" t="str">
        <f t="shared" si="31"/>
        <v/>
      </c>
      <c r="U25" s="30" t="str">
        <f t="shared" si="32"/>
        <v/>
      </c>
      <c r="V25" s="8" t="str">
        <f t="shared" si="0"/>
        <v/>
      </c>
      <c r="W25" s="8" t="str">
        <f t="shared" si="33"/>
        <v/>
      </c>
      <c r="X25" s="8" t="str">
        <f t="shared" si="34"/>
        <v/>
      </c>
      <c r="Y25" s="8" t="str">
        <f t="shared" si="35"/>
        <v/>
      </c>
      <c r="Z25" s="8" t="str">
        <f t="shared" si="36"/>
        <v/>
      </c>
    </row>
    <row r="26" spans="1:26" ht="15.75" customHeight="1">
      <c r="A26" s="27" t="s">
        <v>1006</v>
      </c>
      <c r="B26" s="27" t="s">
        <v>1008</v>
      </c>
      <c r="C26" s="27" t="s">
        <v>1008</v>
      </c>
      <c r="D26" s="27" t="s">
        <v>1010</v>
      </c>
      <c r="E26" s="27" t="s">
        <v>1011</v>
      </c>
      <c r="F26" s="28">
        <v>0.1</v>
      </c>
      <c r="G26" s="29">
        <v>10</v>
      </c>
      <c r="H26" s="27" t="s">
        <v>1012</v>
      </c>
      <c r="I26" s="27" t="s">
        <v>1013</v>
      </c>
      <c r="J26" s="27" t="s">
        <v>1014</v>
      </c>
      <c r="K26" s="27" t="s">
        <v>1015</v>
      </c>
      <c r="L26" s="27" t="s">
        <v>912</v>
      </c>
      <c r="M26" s="29"/>
      <c r="N26" s="29"/>
      <c r="O26" s="29"/>
      <c r="P26" s="27" t="s">
        <v>263</v>
      </c>
      <c r="Q26" s="27">
        <v>5</v>
      </c>
      <c r="R26" s="14"/>
      <c r="S26" s="14"/>
      <c r="T26" s="30" t="str">
        <f t="shared" si="31"/>
        <v/>
      </c>
      <c r="U26" s="30" t="str">
        <f t="shared" si="32"/>
        <v/>
      </c>
      <c r="V26" s="8" t="str">
        <f t="shared" si="0"/>
        <v/>
      </c>
      <c r="W26" s="8" t="str">
        <f t="shared" si="33"/>
        <v/>
      </c>
      <c r="X26" s="8" t="str">
        <f t="shared" si="34"/>
        <v/>
      </c>
      <c r="Y26" s="8" t="str">
        <f t="shared" si="35"/>
        <v/>
      </c>
      <c r="Z26" s="8" t="str">
        <f t="shared" si="36"/>
        <v/>
      </c>
    </row>
    <row r="27" spans="1:26" ht="15.75" customHeight="1">
      <c r="A27" s="20">
        <v>4.7</v>
      </c>
      <c r="B27" s="20" t="s">
        <v>1016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>SUM(Q28:Q32)</f>
        <v>25</v>
      </c>
      <c r="R27" s="20"/>
      <c r="S27" s="20"/>
      <c r="T27" s="24">
        <f>SUM(T28:T32)</f>
        <v>0</v>
      </c>
      <c r="U27" s="24" t="str">
        <f>IF(COUNT(T28:T32)=0,"",ROUND(T27/Q27*100,2))</f>
        <v/>
      </c>
      <c r="V27" s="20" t="str">
        <f t="shared" si="0"/>
        <v/>
      </c>
      <c r="W27" s="20">
        <f t="shared" ref="W27:Z27" si="37">SUM(W28:W32)</f>
        <v>0</v>
      </c>
      <c r="X27" s="20">
        <f t="shared" si="37"/>
        <v>0</v>
      </c>
      <c r="Y27" s="20">
        <f t="shared" si="37"/>
        <v>0</v>
      </c>
      <c r="Z27" s="20">
        <f t="shared" si="37"/>
        <v>0</v>
      </c>
    </row>
    <row r="28" spans="1:26" ht="15.75" customHeight="1">
      <c r="A28" s="27" t="s">
        <v>1017</v>
      </c>
      <c r="B28" s="27" t="s">
        <v>1018</v>
      </c>
      <c r="C28" s="27" t="s">
        <v>1019</v>
      </c>
      <c r="D28" s="27" t="s">
        <v>1020</v>
      </c>
      <c r="E28" s="27" t="s">
        <v>1021</v>
      </c>
      <c r="F28" s="28">
        <v>1</v>
      </c>
      <c r="G28" s="29">
        <v>5</v>
      </c>
      <c r="H28" s="27" t="s">
        <v>1022</v>
      </c>
      <c r="I28" s="27" t="s">
        <v>759</v>
      </c>
      <c r="J28" s="27" t="s">
        <v>760</v>
      </c>
      <c r="K28" s="27" t="s">
        <v>761</v>
      </c>
      <c r="L28" s="27" t="s">
        <v>731</v>
      </c>
      <c r="M28" s="29"/>
      <c r="N28" s="29"/>
      <c r="O28" s="29"/>
      <c r="P28" s="27" t="s">
        <v>263</v>
      </c>
      <c r="Q28" s="27">
        <v>5</v>
      </c>
      <c r="R28" s="14"/>
      <c r="S28" s="14"/>
      <c r="T28" s="30" t="str">
        <f t="shared" ref="T28:T32" si="38">IF(OR(S28="",R28="",R28=0),"",ROUND(Q28*MIN(S28/R28,1),2))</f>
        <v/>
      </c>
      <c r="U28" s="30" t="str">
        <f t="shared" ref="U28:U32" si="39">IF(T28="","",ROUND(T28/Q28*100,2))</f>
        <v/>
      </c>
      <c r="V28" s="8" t="str">
        <f t="shared" si="0"/>
        <v/>
      </c>
      <c r="W28" s="8" t="str">
        <f t="shared" ref="W28:W32" si="40">IF($V28="Y",1,"")</f>
        <v/>
      </c>
      <c r="X28" s="8" t="str">
        <f t="shared" ref="X28:X32" si="41">IF($V28="C",1,"")</f>
        <v/>
      </c>
      <c r="Y28" s="8" t="str">
        <f t="shared" ref="Y28:Y32" si="42">IF($V28="W",1,"")</f>
        <v/>
      </c>
      <c r="Z28" s="8" t="str">
        <f t="shared" ref="Z28:Z32" si="43">IF($V28="D",1,"")</f>
        <v/>
      </c>
    </row>
    <row r="29" spans="1:26" ht="15.75" customHeight="1">
      <c r="A29" s="27" t="s">
        <v>1035</v>
      </c>
      <c r="B29" s="27" t="s">
        <v>1036</v>
      </c>
      <c r="C29" s="27" t="s">
        <v>1037</v>
      </c>
      <c r="D29" s="27" t="s">
        <v>1038</v>
      </c>
      <c r="E29" s="27" t="s">
        <v>172</v>
      </c>
      <c r="F29" s="28">
        <v>0.05</v>
      </c>
      <c r="G29" s="29">
        <v>10</v>
      </c>
      <c r="H29" s="27" t="s">
        <v>1039</v>
      </c>
      <c r="I29" s="27" t="s">
        <v>1040</v>
      </c>
      <c r="J29" s="27" t="s">
        <v>1041</v>
      </c>
      <c r="K29" s="27" t="s">
        <v>315</v>
      </c>
      <c r="L29" s="27" t="s">
        <v>804</v>
      </c>
      <c r="M29" s="29"/>
      <c r="N29" s="29"/>
      <c r="O29" s="29"/>
      <c r="P29" s="27" t="s">
        <v>101</v>
      </c>
      <c r="Q29" s="27">
        <v>6</v>
      </c>
      <c r="R29" s="14"/>
      <c r="S29" s="14"/>
      <c r="T29" s="30" t="str">
        <f t="shared" si="38"/>
        <v/>
      </c>
      <c r="U29" s="30" t="str">
        <f t="shared" si="39"/>
        <v/>
      </c>
      <c r="V29" s="8" t="str">
        <f t="shared" si="0"/>
        <v/>
      </c>
      <c r="W29" s="8" t="str">
        <f t="shared" si="40"/>
        <v/>
      </c>
      <c r="X29" s="8" t="str">
        <f t="shared" si="41"/>
        <v/>
      </c>
      <c r="Y29" s="8" t="str">
        <f t="shared" si="42"/>
        <v/>
      </c>
      <c r="Z29" s="8" t="str">
        <f t="shared" si="43"/>
        <v/>
      </c>
    </row>
    <row r="30" spans="1:26" ht="15.75" customHeight="1">
      <c r="A30" s="27" t="s">
        <v>1049</v>
      </c>
      <c r="B30" s="27" t="s">
        <v>1050</v>
      </c>
      <c r="C30" s="27" t="s">
        <v>1051</v>
      </c>
      <c r="D30" s="27" t="s">
        <v>1052</v>
      </c>
      <c r="E30" s="27" t="s">
        <v>1053</v>
      </c>
      <c r="F30" s="28">
        <v>1</v>
      </c>
      <c r="G30" s="29">
        <v>5</v>
      </c>
      <c r="H30" s="27" t="s">
        <v>1054</v>
      </c>
      <c r="I30" s="27" t="s">
        <v>759</v>
      </c>
      <c r="J30" s="27" t="s">
        <v>760</v>
      </c>
      <c r="K30" s="27" t="s">
        <v>761</v>
      </c>
      <c r="L30" s="27" t="s">
        <v>515</v>
      </c>
      <c r="M30" s="29"/>
      <c r="N30" s="29"/>
      <c r="O30" s="29"/>
      <c r="P30" s="27" t="s">
        <v>263</v>
      </c>
      <c r="Q30" s="27">
        <v>4</v>
      </c>
      <c r="R30" s="14"/>
      <c r="S30" s="14"/>
      <c r="T30" s="30" t="str">
        <f t="shared" si="38"/>
        <v/>
      </c>
      <c r="U30" s="30" t="str">
        <f t="shared" si="39"/>
        <v/>
      </c>
      <c r="V30" s="8" t="str">
        <f t="shared" si="0"/>
        <v/>
      </c>
      <c r="W30" s="8" t="str">
        <f t="shared" si="40"/>
        <v/>
      </c>
      <c r="X30" s="8" t="str">
        <f t="shared" si="41"/>
        <v/>
      </c>
      <c r="Y30" s="8" t="str">
        <f t="shared" si="42"/>
        <v/>
      </c>
      <c r="Z30" s="8" t="str">
        <f t="shared" si="43"/>
        <v/>
      </c>
    </row>
    <row r="31" spans="1:26" ht="15.75" customHeight="1">
      <c r="A31" s="27" t="s">
        <v>1061</v>
      </c>
      <c r="B31" s="27" t="s">
        <v>1062</v>
      </c>
      <c r="C31" s="27" t="s">
        <v>1063</v>
      </c>
      <c r="D31" s="27" t="s">
        <v>1064</v>
      </c>
      <c r="E31" s="27" t="s">
        <v>1065</v>
      </c>
      <c r="F31" s="28">
        <v>1</v>
      </c>
      <c r="G31" s="29">
        <v>3</v>
      </c>
      <c r="H31" s="27" t="s">
        <v>1066</v>
      </c>
      <c r="I31" s="27" t="s">
        <v>1067</v>
      </c>
      <c r="J31" s="27" t="s">
        <v>760</v>
      </c>
      <c r="K31" s="27" t="s">
        <v>1068</v>
      </c>
      <c r="L31" s="27" t="s">
        <v>484</v>
      </c>
      <c r="M31" s="29"/>
      <c r="N31" s="29"/>
      <c r="O31" s="29"/>
      <c r="P31" s="27" t="s">
        <v>263</v>
      </c>
      <c r="Q31" s="27">
        <v>5</v>
      </c>
      <c r="R31" s="14"/>
      <c r="S31" s="14"/>
      <c r="T31" s="30" t="str">
        <f t="shared" si="38"/>
        <v/>
      </c>
      <c r="U31" s="30" t="str">
        <f t="shared" si="39"/>
        <v/>
      </c>
      <c r="V31" s="8" t="str">
        <f t="shared" si="0"/>
        <v/>
      </c>
      <c r="W31" s="8" t="str">
        <f t="shared" si="40"/>
        <v/>
      </c>
      <c r="X31" s="8" t="str">
        <f t="shared" si="41"/>
        <v/>
      </c>
      <c r="Y31" s="8" t="str">
        <f t="shared" si="42"/>
        <v/>
      </c>
      <c r="Z31" s="8" t="str">
        <f t="shared" si="43"/>
        <v/>
      </c>
    </row>
    <row r="32" spans="1:26" ht="15.75" customHeight="1">
      <c r="A32" s="27" t="s">
        <v>1077</v>
      </c>
      <c r="B32" s="27" t="s">
        <v>1078</v>
      </c>
      <c r="C32" s="27" t="s">
        <v>979</v>
      </c>
      <c r="D32" s="27" t="s">
        <v>1079</v>
      </c>
      <c r="E32" s="27" t="s">
        <v>1080</v>
      </c>
      <c r="F32" s="28">
        <v>1</v>
      </c>
      <c r="G32" s="29">
        <v>5</v>
      </c>
      <c r="H32" s="27" t="s">
        <v>1081</v>
      </c>
      <c r="I32" s="27" t="s">
        <v>730</v>
      </c>
      <c r="J32" s="27" t="s">
        <v>760</v>
      </c>
      <c r="K32" s="27" t="s">
        <v>761</v>
      </c>
      <c r="L32" s="27" t="s">
        <v>515</v>
      </c>
      <c r="M32" s="29"/>
      <c r="N32" s="29"/>
      <c r="O32" s="29"/>
      <c r="P32" s="27" t="s">
        <v>263</v>
      </c>
      <c r="Q32" s="27">
        <v>5</v>
      </c>
      <c r="R32" s="14"/>
      <c r="S32" s="14"/>
      <c r="T32" s="30" t="str">
        <f t="shared" si="38"/>
        <v/>
      </c>
      <c r="U32" s="30" t="str">
        <f t="shared" si="39"/>
        <v/>
      </c>
      <c r="V32" s="8" t="str">
        <f t="shared" si="0"/>
        <v/>
      </c>
      <c r="W32" s="8" t="str">
        <f t="shared" si="40"/>
        <v/>
      </c>
      <c r="X32" s="8" t="str">
        <f t="shared" si="41"/>
        <v/>
      </c>
      <c r="Y32" s="8" t="str">
        <f t="shared" si="42"/>
        <v/>
      </c>
      <c r="Z32" s="8" t="str">
        <f t="shared" si="43"/>
        <v/>
      </c>
    </row>
    <row r="33" spans="1:26" ht="15.75" customHeight="1">
      <c r="A33" s="5" t="s">
        <v>67</v>
      </c>
      <c r="B33" s="5" t="s">
        <v>1088</v>
      </c>
      <c r="P33" s="26"/>
      <c r="Q33" s="26">
        <f>Q8+Q10+Q13+Q16+Q19+Q22+Q27</f>
        <v>120</v>
      </c>
      <c r="R33" s="26"/>
      <c r="S33" s="26"/>
      <c r="T33" s="32">
        <f>T8+T10+T13+T16+T19+T22+T27</f>
        <v>0</v>
      </c>
      <c r="U33" s="32" t="str">
        <f>IF(T33=0,"",ROUND(T33/Q33*100,2))</f>
        <v/>
      </c>
      <c r="V33" s="26" t="str">
        <f t="shared" si="0"/>
        <v/>
      </c>
      <c r="W33" s="26">
        <f t="shared" ref="W33:Z33" si="44">W8+W10+W13+W16+W19+W22+W27</f>
        <v>0</v>
      </c>
      <c r="X33" s="26">
        <f t="shared" si="44"/>
        <v>0</v>
      </c>
      <c r="Y33" s="26">
        <f t="shared" si="44"/>
        <v>0</v>
      </c>
      <c r="Z33" s="26">
        <f t="shared" si="44"/>
        <v>0</v>
      </c>
    </row>
    <row r="34" spans="1:26" ht="15.75" customHeight="1">
      <c r="A34" s="5"/>
      <c r="B34" s="5"/>
      <c r="C34" s="5"/>
      <c r="D34" s="5"/>
      <c r="E34" s="5"/>
      <c r="F34" s="3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34"/>
      <c r="U34" s="34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5"/>
      <c r="E35" s="5"/>
      <c r="F35" s="3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34"/>
      <c r="U35" s="34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34"/>
      <c r="U36" s="34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5"/>
      <c r="E37" s="5"/>
      <c r="F37" s="3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34"/>
      <c r="U37" s="34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3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34"/>
      <c r="U38" s="34"/>
      <c r="V38" s="5"/>
      <c r="W38" s="5"/>
      <c r="X38" s="5"/>
      <c r="Y38" s="5"/>
      <c r="Z38" s="5"/>
    </row>
  </sheetData>
  <mergeCells count="4">
    <mergeCell ref="A2:L2"/>
    <mergeCell ref="A3:L3"/>
    <mergeCell ref="A4:L4"/>
    <mergeCell ref="A5:L5"/>
  </mergeCells>
  <conditionalFormatting sqref="V8:V33">
    <cfRule type="cellIs" dxfId="33" priority="1" stopIfTrue="1" operator="equal">
      <formula>0</formula>
    </cfRule>
    <cfRule type="cellIs" dxfId="32" priority="2" stopIfTrue="1" operator="equal">
      <formula>0</formula>
    </cfRule>
    <cfRule type="cellIs" dxfId="31" priority="3" stopIfTrue="1" operator="equal">
      <formula>0</formula>
    </cfRule>
    <cfRule type="cellIs" dxfId="30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6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863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864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5.0999999999999996</v>
      </c>
      <c r="B8" s="20" t="s">
        <v>866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SUM(Q9)</f>
        <v>30</v>
      </c>
      <c r="R8" s="20"/>
      <c r="S8" s="20"/>
      <c r="T8" s="24">
        <f>SUM(T9)</f>
        <v>0</v>
      </c>
      <c r="U8" s="24" t="str">
        <f>IF(COUNT(T9)=0,"",ROUND(T8/Q8*100,2))</f>
        <v/>
      </c>
      <c r="V8" s="20" t="str">
        <f t="shared" ref="V8:V21" si="0">IF(U8="","",IF(U8&gt;YT*100,"Y",IF(U8&gt;=CT*100,"C",IF(U8&gt;=WT*100,"W","D"))))</f>
        <v/>
      </c>
      <c r="W8" s="20">
        <f t="shared" ref="W8:Z8" si="1">SUM(W9)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30">
      <c r="A9" s="27" t="s">
        <v>876</v>
      </c>
      <c r="B9" s="27" t="s">
        <v>877</v>
      </c>
      <c r="C9" s="27" t="s">
        <v>878</v>
      </c>
      <c r="D9" s="27" t="s">
        <v>879</v>
      </c>
      <c r="E9" s="27" t="s">
        <v>880</v>
      </c>
      <c r="F9" s="28">
        <v>0.2</v>
      </c>
      <c r="G9" s="29">
        <v>5</v>
      </c>
      <c r="H9" s="27" t="s">
        <v>881</v>
      </c>
      <c r="I9" s="27" t="s">
        <v>882</v>
      </c>
      <c r="J9" s="27" t="s">
        <v>883</v>
      </c>
      <c r="K9" s="27" t="s">
        <v>874</v>
      </c>
      <c r="L9" s="27" t="s">
        <v>875</v>
      </c>
      <c r="M9" s="29"/>
      <c r="N9" s="29"/>
      <c r="O9" s="29"/>
      <c r="P9" s="27" t="s">
        <v>101</v>
      </c>
      <c r="Q9" s="27">
        <v>30</v>
      </c>
      <c r="R9" s="14"/>
      <c r="S9" s="14"/>
      <c r="T9" s="30" t="str">
        <f>IF(OR(S9="",R9="",R9=0),"",ROUND(Q9*MIN(S9/R9,1),2))</f>
        <v/>
      </c>
      <c r="U9" s="30" t="str">
        <f>IF(T9="","",ROUND(T9/Q9*100,2))</f>
        <v/>
      </c>
      <c r="V9" s="8" t="str">
        <f t="shared" si="0"/>
        <v/>
      </c>
      <c r="W9" s="8" t="str">
        <f>IF($V9="Y",1,"")</f>
        <v/>
      </c>
      <c r="X9" s="8" t="str">
        <f>IF($V9="C",1,"")</f>
        <v/>
      </c>
      <c r="Y9" s="8" t="str">
        <f>IF($V9="W",1,"")</f>
        <v/>
      </c>
      <c r="Z9" s="8" t="str">
        <f>IF($V9="D",1,"")</f>
        <v/>
      </c>
    </row>
    <row r="10" spans="1:26">
      <c r="A10" s="20">
        <v>5.2</v>
      </c>
      <c r="B10" s="20" t="s">
        <v>887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>SUM(Q11:Q12)</f>
        <v>25</v>
      </c>
      <c r="R10" s="20"/>
      <c r="S10" s="20"/>
      <c r="T10" s="24">
        <f>SUM(T11:T12)</f>
        <v>0</v>
      </c>
      <c r="U10" s="24" t="str">
        <f>IF(COUNT(T11:T12)=0,"",ROUND(T10/Q10*100,2))</f>
        <v/>
      </c>
      <c r="V10" s="20" t="str">
        <f t="shared" si="0"/>
        <v/>
      </c>
      <c r="W10" s="20">
        <f t="shared" ref="W10:Z10" si="2">SUM(W11:W12)</f>
        <v>0</v>
      </c>
      <c r="X10" s="20">
        <f t="shared" si="2"/>
        <v>0</v>
      </c>
      <c r="Y10" s="20">
        <f t="shared" si="2"/>
        <v>0</v>
      </c>
      <c r="Z10" s="20">
        <f t="shared" si="2"/>
        <v>0</v>
      </c>
    </row>
    <row r="11" spans="1:26" ht="30">
      <c r="A11" s="27" t="s">
        <v>895</v>
      </c>
      <c r="B11" s="27" t="s">
        <v>896</v>
      </c>
      <c r="C11" s="27" t="s">
        <v>896</v>
      </c>
      <c r="D11" s="27" t="s">
        <v>897</v>
      </c>
      <c r="E11" s="27" t="s">
        <v>880</v>
      </c>
      <c r="F11" s="28">
        <v>0.25</v>
      </c>
      <c r="G11" s="29">
        <v>5</v>
      </c>
      <c r="H11" s="27" t="s">
        <v>898</v>
      </c>
      <c r="I11" s="27" t="s">
        <v>631</v>
      </c>
      <c r="J11" s="27" t="s">
        <v>513</v>
      </c>
      <c r="K11" s="27" t="s">
        <v>597</v>
      </c>
      <c r="L11" s="27" t="s">
        <v>598</v>
      </c>
      <c r="M11" s="29"/>
      <c r="N11" s="29"/>
      <c r="O11" s="29"/>
      <c r="P11" s="27" t="s">
        <v>101</v>
      </c>
      <c r="Q11" s="27">
        <v>15</v>
      </c>
      <c r="R11" s="14"/>
      <c r="S11" s="14"/>
      <c r="T11" s="30" t="str">
        <f t="shared" ref="T11:T12" si="3">IF(OR(S11="",R11="",R11=0),"",ROUND(Q11*MIN(S11/R11,1),2))</f>
        <v/>
      </c>
      <c r="U11" s="30" t="str">
        <f t="shared" ref="U11:U12" si="4">IF(T11="","",ROUND(T11/Q11*100,2))</f>
        <v/>
      </c>
      <c r="V11" s="8" t="str">
        <f t="shared" si="0"/>
        <v/>
      </c>
      <c r="W11" s="8" t="str">
        <f t="shared" ref="W11:W12" si="5">IF($V11="Y",1,"")</f>
        <v/>
      </c>
      <c r="X11" s="8" t="str">
        <f t="shared" ref="X11:X12" si="6">IF($V11="C",1,"")</f>
        <v/>
      </c>
      <c r="Y11" s="8" t="str">
        <f t="shared" ref="Y11:Y12" si="7">IF($V11="W",1,"")</f>
        <v/>
      </c>
      <c r="Z11" s="8" t="str">
        <f t="shared" ref="Z11:Z12" si="8">IF($V11="D",1,"")</f>
        <v/>
      </c>
    </row>
    <row r="12" spans="1:26" ht="30">
      <c r="A12" s="27" t="s">
        <v>905</v>
      </c>
      <c r="B12" s="27" t="s">
        <v>906</v>
      </c>
      <c r="C12" s="27" t="s">
        <v>906</v>
      </c>
      <c r="D12" s="27" t="s">
        <v>907</v>
      </c>
      <c r="E12" s="27" t="s">
        <v>880</v>
      </c>
      <c r="F12" s="28">
        <v>0.25</v>
      </c>
      <c r="G12" s="29">
        <v>5</v>
      </c>
      <c r="H12" s="27" t="s">
        <v>908</v>
      </c>
      <c r="I12" s="27" t="s">
        <v>909</v>
      </c>
      <c r="J12" s="27" t="s">
        <v>910</v>
      </c>
      <c r="K12" s="27" t="s">
        <v>911</v>
      </c>
      <c r="L12" s="27" t="s">
        <v>912</v>
      </c>
      <c r="M12" s="29"/>
      <c r="N12" s="29"/>
      <c r="O12" s="29"/>
      <c r="P12" s="27" t="s">
        <v>101</v>
      </c>
      <c r="Q12" s="27">
        <v>10</v>
      </c>
      <c r="R12" s="14"/>
      <c r="S12" s="14"/>
      <c r="T12" s="30" t="str">
        <f t="shared" si="3"/>
        <v/>
      </c>
      <c r="U12" s="30" t="str">
        <f t="shared" si="4"/>
        <v/>
      </c>
      <c r="V12" s="8" t="str">
        <f t="shared" si="0"/>
        <v/>
      </c>
      <c r="W12" s="8" t="str">
        <f t="shared" si="5"/>
        <v/>
      </c>
      <c r="X12" s="8" t="str">
        <f t="shared" si="6"/>
        <v/>
      </c>
      <c r="Y12" s="8" t="str">
        <f t="shared" si="7"/>
        <v/>
      </c>
      <c r="Z12" s="8" t="str">
        <f t="shared" si="8"/>
        <v/>
      </c>
    </row>
    <row r="13" spans="1:26">
      <c r="A13" s="20">
        <v>5.3</v>
      </c>
      <c r="B13" s="20" t="s">
        <v>914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>SUM(Q14:Q16)</f>
        <v>25</v>
      </c>
      <c r="R13" s="20"/>
      <c r="S13" s="20"/>
      <c r="T13" s="24">
        <f>SUM(T14:T16)</f>
        <v>0</v>
      </c>
      <c r="U13" s="24" t="str">
        <f>IF(COUNT(T14:T16)=0,"",ROUND(T13/Q13*100,2))</f>
        <v/>
      </c>
      <c r="V13" s="20" t="str">
        <f t="shared" si="0"/>
        <v/>
      </c>
      <c r="W13" s="20">
        <f t="shared" ref="W13:Z13" si="9">SUM(W14:W16)</f>
        <v>0</v>
      </c>
      <c r="X13" s="20">
        <f t="shared" si="9"/>
        <v>0</v>
      </c>
      <c r="Y13" s="20">
        <f t="shared" si="9"/>
        <v>0</v>
      </c>
      <c r="Z13" s="20">
        <f t="shared" si="9"/>
        <v>0</v>
      </c>
    </row>
    <row r="14" spans="1:26" ht="30">
      <c r="A14" s="27" t="s">
        <v>920</v>
      </c>
      <c r="B14" s="27" t="s">
        <v>921</v>
      </c>
      <c r="C14" s="27" t="s">
        <v>921</v>
      </c>
      <c r="D14" s="27" t="s">
        <v>922</v>
      </c>
      <c r="E14" s="27" t="s">
        <v>921</v>
      </c>
      <c r="F14" s="28">
        <v>1</v>
      </c>
      <c r="G14" s="29">
        <v>2</v>
      </c>
      <c r="H14" s="27" t="s">
        <v>923</v>
      </c>
      <c r="I14" s="27" t="s">
        <v>924</v>
      </c>
      <c r="J14" s="27" t="s">
        <v>883</v>
      </c>
      <c r="K14" s="27" t="s">
        <v>874</v>
      </c>
      <c r="L14" s="27" t="s">
        <v>925</v>
      </c>
      <c r="M14" s="29"/>
      <c r="N14" s="29"/>
      <c r="O14" s="29"/>
      <c r="P14" s="27" t="s">
        <v>101</v>
      </c>
      <c r="Q14" s="27">
        <v>10</v>
      </c>
      <c r="R14" s="14"/>
      <c r="S14" s="14"/>
      <c r="T14" s="30" t="str">
        <f t="shared" ref="T14:T16" si="10">IF(OR(S14="",R14="",R14=0),"",ROUND(Q14*MIN(S14/R14,1),2))</f>
        <v/>
      </c>
      <c r="U14" s="30" t="str">
        <f t="shared" ref="U14:U16" si="11">IF(T14="","",ROUND(T14/Q14*100,2))</f>
        <v/>
      </c>
      <c r="V14" s="8" t="str">
        <f t="shared" si="0"/>
        <v/>
      </c>
      <c r="W14" s="8" t="str">
        <f t="shared" ref="W14:W16" si="12">IF($V14="Y",1,"")</f>
        <v/>
      </c>
      <c r="X14" s="8" t="str">
        <f t="shared" ref="X14:X16" si="13">IF($V14="C",1,"")</f>
        <v/>
      </c>
      <c r="Y14" s="8" t="str">
        <f t="shared" ref="Y14:Y16" si="14">IF($V14="W",1,"")</f>
        <v/>
      </c>
      <c r="Z14" s="8" t="str">
        <f t="shared" ref="Z14:Z16" si="15">IF($V14="D",1,"")</f>
        <v/>
      </c>
    </row>
    <row r="15" spans="1:26" ht="30">
      <c r="A15" s="27" t="s">
        <v>930</v>
      </c>
      <c r="B15" s="27" t="s">
        <v>931</v>
      </c>
      <c r="C15" s="27" t="s">
        <v>931</v>
      </c>
      <c r="D15" s="27" t="s">
        <v>922</v>
      </c>
      <c r="E15" s="27" t="s">
        <v>931</v>
      </c>
      <c r="F15" s="28">
        <v>0.5</v>
      </c>
      <c r="G15" s="29">
        <v>3</v>
      </c>
      <c r="H15" s="27" t="s">
        <v>936</v>
      </c>
      <c r="I15" s="27" t="s">
        <v>938</v>
      </c>
      <c r="J15" s="27" t="s">
        <v>883</v>
      </c>
      <c r="K15" s="27" t="s">
        <v>874</v>
      </c>
      <c r="L15" s="27" t="s">
        <v>939</v>
      </c>
      <c r="M15" s="29"/>
      <c r="N15" s="29"/>
      <c r="O15" s="29"/>
      <c r="P15" s="27" t="s">
        <v>101</v>
      </c>
      <c r="Q15" s="27">
        <v>10</v>
      </c>
      <c r="R15" s="14"/>
      <c r="S15" s="14"/>
      <c r="T15" s="30" t="str">
        <f t="shared" si="10"/>
        <v/>
      </c>
      <c r="U15" s="30" t="str">
        <f t="shared" si="11"/>
        <v/>
      </c>
      <c r="V15" s="8" t="str">
        <f t="shared" si="0"/>
        <v/>
      </c>
      <c r="W15" s="8" t="str">
        <f t="shared" si="12"/>
        <v/>
      </c>
      <c r="X15" s="8" t="str">
        <f t="shared" si="13"/>
        <v/>
      </c>
      <c r="Y15" s="8" t="str">
        <f t="shared" si="14"/>
        <v/>
      </c>
      <c r="Z15" s="8" t="str">
        <f t="shared" si="15"/>
        <v/>
      </c>
    </row>
    <row r="16" spans="1:26" ht="30">
      <c r="A16" s="27" t="s">
        <v>940</v>
      </c>
      <c r="B16" s="27" t="s">
        <v>941</v>
      </c>
      <c r="C16" s="27" t="s">
        <v>941</v>
      </c>
      <c r="D16" s="27" t="s">
        <v>943</v>
      </c>
      <c r="E16" s="27" t="s">
        <v>941</v>
      </c>
      <c r="F16" s="28">
        <v>0.2</v>
      </c>
      <c r="G16" s="29">
        <v>5</v>
      </c>
      <c r="H16" s="27" t="s">
        <v>944</v>
      </c>
      <c r="I16" s="27" t="s">
        <v>938</v>
      </c>
      <c r="J16" s="27" t="s">
        <v>883</v>
      </c>
      <c r="K16" s="27" t="s">
        <v>874</v>
      </c>
      <c r="L16" s="27" t="s">
        <v>939</v>
      </c>
      <c r="M16" s="29"/>
      <c r="N16" s="29"/>
      <c r="O16" s="29"/>
      <c r="P16" s="27" t="s">
        <v>101</v>
      </c>
      <c r="Q16" s="27">
        <v>5</v>
      </c>
      <c r="R16" s="14"/>
      <c r="S16" s="14"/>
      <c r="T16" s="30" t="str">
        <f t="shared" si="10"/>
        <v/>
      </c>
      <c r="U16" s="30" t="str">
        <f t="shared" si="11"/>
        <v/>
      </c>
      <c r="V16" s="8" t="str">
        <f t="shared" si="0"/>
        <v/>
      </c>
      <c r="W16" s="8" t="str">
        <f t="shared" si="12"/>
        <v/>
      </c>
      <c r="X16" s="8" t="str">
        <f t="shared" si="13"/>
        <v/>
      </c>
      <c r="Y16" s="8" t="str">
        <f t="shared" si="14"/>
        <v/>
      </c>
      <c r="Z16" s="8" t="str">
        <f t="shared" si="15"/>
        <v/>
      </c>
    </row>
    <row r="17" spans="1:26">
      <c r="A17" s="20">
        <v>5.4</v>
      </c>
      <c r="B17" s="20" t="s">
        <v>945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>
        <f>SUM(Q18)</f>
        <v>10</v>
      </c>
      <c r="R17" s="20"/>
      <c r="S17" s="20"/>
      <c r="T17" s="24">
        <f>SUM(T18)</f>
        <v>0</v>
      </c>
      <c r="U17" s="24" t="str">
        <f>IF(COUNT(T18)=0,"",ROUND(T17/Q17*100,2))</f>
        <v/>
      </c>
      <c r="V17" s="20" t="str">
        <f t="shared" si="0"/>
        <v/>
      </c>
      <c r="W17" s="20">
        <f t="shared" ref="W17:Z17" si="16">SUM(W18)</f>
        <v>0</v>
      </c>
      <c r="X17" s="20">
        <f t="shared" si="16"/>
        <v>0</v>
      </c>
      <c r="Y17" s="20">
        <f t="shared" si="16"/>
        <v>0</v>
      </c>
      <c r="Z17" s="20">
        <f t="shared" si="16"/>
        <v>0</v>
      </c>
    </row>
    <row r="18" spans="1:26" ht="30">
      <c r="A18" s="27" t="s">
        <v>950</v>
      </c>
      <c r="B18" s="27" t="s">
        <v>951</v>
      </c>
      <c r="C18" s="27" t="s">
        <v>951</v>
      </c>
      <c r="D18" s="27" t="s">
        <v>952</v>
      </c>
      <c r="E18" s="27" t="s">
        <v>953</v>
      </c>
      <c r="F18" s="28">
        <v>0.25</v>
      </c>
      <c r="G18" s="29">
        <v>5</v>
      </c>
      <c r="H18" s="27" t="s">
        <v>954</v>
      </c>
      <c r="I18" s="27" t="s">
        <v>955</v>
      </c>
      <c r="J18" s="27" t="s">
        <v>956</v>
      </c>
      <c r="K18" s="27" t="s">
        <v>957</v>
      </c>
      <c r="L18" s="27" t="s">
        <v>731</v>
      </c>
      <c r="M18" s="29"/>
      <c r="N18" s="29"/>
      <c r="O18" s="29"/>
      <c r="P18" s="27" t="s">
        <v>101</v>
      </c>
      <c r="Q18" s="27">
        <v>10</v>
      </c>
      <c r="R18" s="14"/>
      <c r="S18" s="14"/>
      <c r="T18" s="30" t="str">
        <f>IF(OR(S18="",R18="",R18=0),"",ROUND(Q18*MIN(S18/R18,1),2))</f>
        <v/>
      </c>
      <c r="U18" s="30" t="str">
        <f>IF(T18="","",ROUND(T18/Q18*100,2))</f>
        <v/>
      </c>
      <c r="V18" s="8" t="str">
        <f t="shared" si="0"/>
        <v/>
      </c>
      <c r="W18" s="8" t="str">
        <f>IF($V18="Y",1,"")</f>
        <v/>
      </c>
      <c r="X18" s="8" t="str">
        <f>IF($V18="C",1,"")</f>
        <v/>
      </c>
      <c r="Y18" s="8" t="str">
        <f>IF($V18="W",1,"")</f>
        <v/>
      </c>
      <c r="Z18" s="8" t="str">
        <f>IF($V18="D",1,"")</f>
        <v/>
      </c>
    </row>
    <row r="19" spans="1:26">
      <c r="A19" s="20">
        <v>5.5</v>
      </c>
      <c r="B19" s="20" t="s">
        <v>962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>SUM(Q20)</f>
        <v>10</v>
      </c>
      <c r="R19" s="20"/>
      <c r="S19" s="20"/>
      <c r="T19" s="24">
        <f>SUM(T20)</f>
        <v>0</v>
      </c>
      <c r="U19" s="24" t="str">
        <f>IF(COUNT(T20)=0,"",ROUND(T19/Q19*100,2))</f>
        <v/>
      </c>
      <c r="V19" s="20" t="str">
        <f t="shared" si="0"/>
        <v/>
      </c>
      <c r="W19" s="20">
        <f t="shared" ref="W19:Z19" si="17">SUM(W20)</f>
        <v>0</v>
      </c>
      <c r="X19" s="20">
        <f t="shared" si="17"/>
        <v>0</v>
      </c>
      <c r="Y19" s="20">
        <f t="shared" si="17"/>
        <v>0</v>
      </c>
      <c r="Z19" s="20">
        <f t="shared" si="17"/>
        <v>0</v>
      </c>
    </row>
    <row r="20" spans="1:26" ht="30">
      <c r="A20" s="27" t="s">
        <v>964</v>
      </c>
      <c r="B20" s="27" t="s">
        <v>962</v>
      </c>
      <c r="C20" s="27" t="s">
        <v>962</v>
      </c>
      <c r="D20" s="27" t="s">
        <v>965</v>
      </c>
      <c r="E20" s="27" t="s">
        <v>880</v>
      </c>
      <c r="F20" s="28">
        <v>0.2</v>
      </c>
      <c r="G20" s="29">
        <v>5</v>
      </c>
      <c r="H20" s="27" t="s">
        <v>966</v>
      </c>
      <c r="I20" s="27" t="s">
        <v>967</v>
      </c>
      <c r="J20" s="27" t="s">
        <v>968</v>
      </c>
      <c r="K20" s="27" t="s">
        <v>969</v>
      </c>
      <c r="L20" s="27" t="s">
        <v>970</v>
      </c>
      <c r="M20" s="29"/>
      <c r="N20" s="29"/>
      <c r="O20" s="29"/>
      <c r="P20" s="27" t="s">
        <v>101</v>
      </c>
      <c r="Q20" s="27">
        <v>10</v>
      </c>
      <c r="R20" s="14"/>
      <c r="S20" s="14"/>
      <c r="T20" s="30" t="str">
        <f>IF(OR(S20="",R20="",R20=0),"",ROUND(Q20*MIN(S20/R20,1),2))</f>
        <v/>
      </c>
      <c r="U20" s="30" t="str">
        <f>IF(T20="","",ROUND(T20/Q20*100,2))</f>
        <v/>
      </c>
      <c r="V20" s="8" t="str">
        <f t="shared" si="0"/>
        <v/>
      </c>
      <c r="W20" s="8" t="str">
        <f>IF($V20="Y",1,"")</f>
        <v/>
      </c>
      <c r="X20" s="8" t="str">
        <f>IF($V20="C",1,"")</f>
        <v/>
      </c>
      <c r="Y20" s="8" t="str">
        <f>IF($V20="W",1,"")</f>
        <v/>
      </c>
      <c r="Z20" s="8" t="str">
        <f>IF($V20="D",1,"")</f>
        <v/>
      </c>
    </row>
    <row r="21" spans="1:26" ht="15.75" customHeight="1">
      <c r="A21" s="5" t="s">
        <v>68</v>
      </c>
      <c r="B21" s="5" t="s">
        <v>974</v>
      </c>
      <c r="P21" s="26"/>
      <c r="Q21" s="26">
        <f>Q8+Q10+Q13+Q17+Q19</f>
        <v>100</v>
      </c>
      <c r="R21" s="26"/>
      <c r="S21" s="26"/>
      <c r="T21" s="32">
        <f>T8+T10+T13+T17+T19</f>
        <v>0</v>
      </c>
      <c r="U21" s="32" t="str">
        <f>IF(T21=0,"",ROUND(T21/Q21*100,2))</f>
        <v/>
      </c>
      <c r="V21" s="26" t="str">
        <f t="shared" si="0"/>
        <v/>
      </c>
      <c r="W21" s="26">
        <f t="shared" ref="W21:Z21" si="18">W8+W10+W13+W17+W19</f>
        <v>0</v>
      </c>
      <c r="X21" s="26">
        <f t="shared" si="18"/>
        <v>0</v>
      </c>
      <c r="Y21" s="26">
        <f t="shared" si="18"/>
        <v>0</v>
      </c>
      <c r="Z21" s="26">
        <f t="shared" si="18"/>
        <v>0</v>
      </c>
    </row>
    <row r="22" spans="1:26" ht="15.75" customHeight="1">
      <c r="A22" s="5"/>
      <c r="B22" s="5"/>
      <c r="C22" s="5"/>
      <c r="D22" s="5"/>
      <c r="E22" s="5"/>
      <c r="F22" s="3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34"/>
      <c r="U22" s="34"/>
      <c r="V22" s="5"/>
      <c r="W22" s="5"/>
      <c r="X22" s="5"/>
      <c r="Y22" s="5"/>
      <c r="Z22" s="5"/>
    </row>
    <row r="23" spans="1:26" ht="15.75" customHeight="1">
      <c r="A23" s="5"/>
      <c r="B23" s="5"/>
      <c r="C23" s="5"/>
      <c r="D23" s="5"/>
      <c r="E23" s="5"/>
      <c r="F23" s="3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34"/>
      <c r="U23" s="34"/>
      <c r="V23" s="5"/>
      <c r="W23" s="5"/>
      <c r="X23" s="5"/>
      <c r="Y23" s="5"/>
      <c r="Z23" s="5"/>
    </row>
    <row r="24" spans="1:26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34"/>
      <c r="U24" s="34"/>
      <c r="V24" s="5"/>
      <c r="W24" s="5"/>
      <c r="X24" s="5"/>
      <c r="Y24" s="5"/>
      <c r="Z24" s="5"/>
    </row>
    <row r="25" spans="1:26" ht="15.75" customHeight="1">
      <c r="A25" s="5"/>
      <c r="B25" s="5"/>
      <c r="C25" s="5"/>
      <c r="D25" s="5"/>
      <c r="E25" s="5"/>
      <c r="F25" s="3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34"/>
      <c r="U25" s="34"/>
      <c r="V25" s="5"/>
      <c r="W25" s="5"/>
      <c r="X25" s="5"/>
      <c r="Y25" s="5"/>
      <c r="Z25" s="5"/>
    </row>
    <row r="26" spans="1:26" ht="15.75" customHeight="1">
      <c r="A26" s="5"/>
      <c r="B26" s="5"/>
      <c r="C26" s="5"/>
      <c r="D26" s="5"/>
      <c r="E26" s="5"/>
      <c r="F26" s="3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4"/>
      <c r="U26" s="34"/>
      <c r="V26" s="5"/>
      <c r="W26" s="5"/>
      <c r="X26" s="5"/>
      <c r="Y26" s="5"/>
      <c r="Z26" s="5"/>
    </row>
  </sheetData>
  <mergeCells count="4">
    <mergeCell ref="A2:L2"/>
    <mergeCell ref="A3:L3"/>
    <mergeCell ref="A4:L4"/>
    <mergeCell ref="A5:L5"/>
  </mergeCells>
  <conditionalFormatting sqref="V8:V21">
    <cfRule type="cellIs" dxfId="29" priority="1" stopIfTrue="1" operator="equal">
      <formula>0</formula>
    </cfRule>
    <cfRule type="cellIs" dxfId="28" priority="2" stopIfTrue="1" operator="equal">
      <formula>0</formula>
    </cfRule>
    <cfRule type="cellIs" dxfId="27" priority="3" stopIfTrue="1" operator="equal">
      <formula>0</formula>
    </cfRule>
    <cfRule type="cellIs" dxfId="26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986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988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6.1</v>
      </c>
      <c r="B8" s="20" t="s">
        <v>989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SUM(Q9:Q16)</f>
        <v>60</v>
      </c>
      <c r="R8" s="20"/>
      <c r="S8" s="20"/>
      <c r="T8" s="24">
        <f>SUM(T9:T16)</f>
        <v>0</v>
      </c>
      <c r="U8" s="24" t="str">
        <f>IF(COUNT(T9:T16)=0,"",ROUND(T8/Q8*100,2))</f>
        <v/>
      </c>
      <c r="V8" s="20" t="str">
        <f t="shared" ref="V8:V25" si="0">IF(U8="","",IF(U8&gt;YT*100,"Y",IF(U8&gt;=CT*100,"C",IF(U8&gt;=WT*100,"W","D"))))</f>
        <v/>
      </c>
      <c r="W8" s="20">
        <f t="shared" ref="W8:Z8" si="1">SUM(W9:W16)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30">
      <c r="A9" s="27" t="s">
        <v>998</v>
      </c>
      <c r="B9" s="27" t="s">
        <v>1000</v>
      </c>
      <c r="C9" s="27" t="s">
        <v>1001</v>
      </c>
      <c r="D9" s="27" t="s">
        <v>1002</v>
      </c>
      <c r="E9" s="27" t="s">
        <v>880</v>
      </c>
      <c r="F9" s="28">
        <v>0.2</v>
      </c>
      <c r="G9" s="29">
        <v>5</v>
      </c>
      <c r="H9" s="27" t="s">
        <v>908</v>
      </c>
      <c r="I9" s="27" t="s">
        <v>1003</v>
      </c>
      <c r="J9" s="27" t="s">
        <v>1005</v>
      </c>
      <c r="K9" s="27" t="s">
        <v>1007</v>
      </c>
      <c r="L9" s="27" t="s">
        <v>1009</v>
      </c>
      <c r="M9" s="29"/>
      <c r="N9" s="29"/>
      <c r="O9" s="29"/>
      <c r="P9" s="27" t="s">
        <v>101</v>
      </c>
      <c r="Q9" s="27">
        <v>5</v>
      </c>
      <c r="R9" s="14"/>
      <c r="S9" s="14"/>
      <c r="T9" s="30" t="str">
        <f t="shared" ref="T9:T16" si="2">IF(OR(S9="",R9="",R9=0),"",ROUND(Q9*MIN(S9/R9,1),2))</f>
        <v/>
      </c>
      <c r="U9" s="30" t="str">
        <f t="shared" ref="U9:U16" si="3">IF(T9="","",ROUND(T9/Q9*100,2))</f>
        <v/>
      </c>
      <c r="V9" s="8" t="str">
        <f t="shared" si="0"/>
        <v/>
      </c>
      <c r="W9" s="8" t="str">
        <f t="shared" ref="W9:W16" si="4">IF($V9="Y",1,"")</f>
        <v/>
      </c>
      <c r="X9" s="8" t="str">
        <f t="shared" ref="X9:X16" si="5">IF($V9="C",1,"")</f>
        <v/>
      </c>
      <c r="Y9" s="8" t="str">
        <f t="shared" ref="Y9:Y16" si="6">IF($V9="W",1,"")</f>
        <v/>
      </c>
      <c r="Z9" s="8" t="str">
        <f t="shared" ref="Z9:Z16" si="7">IF($V9="D",1,"")</f>
        <v/>
      </c>
    </row>
    <row r="10" spans="1:26" ht="30">
      <c r="A10" s="27" t="s">
        <v>1023</v>
      </c>
      <c r="B10" s="27" t="s">
        <v>1025</v>
      </c>
      <c r="C10" s="27" t="s">
        <v>1026</v>
      </c>
      <c r="D10" s="27" t="s">
        <v>1027</v>
      </c>
      <c r="E10" s="27" t="s">
        <v>1028</v>
      </c>
      <c r="F10" s="28">
        <v>1</v>
      </c>
      <c r="G10" s="29">
        <v>5</v>
      </c>
      <c r="H10" s="27" t="s">
        <v>1029</v>
      </c>
      <c r="I10" s="27" t="s">
        <v>759</v>
      </c>
      <c r="J10" s="27" t="s">
        <v>760</v>
      </c>
      <c r="K10" s="27" t="s">
        <v>761</v>
      </c>
      <c r="L10" s="27" t="s">
        <v>515</v>
      </c>
      <c r="M10" s="29"/>
      <c r="N10" s="29"/>
      <c r="O10" s="29"/>
      <c r="P10" s="27" t="s">
        <v>263</v>
      </c>
      <c r="Q10" s="27">
        <v>5</v>
      </c>
      <c r="R10" s="14"/>
      <c r="S10" s="14"/>
      <c r="T10" s="30" t="str">
        <f t="shared" si="2"/>
        <v/>
      </c>
      <c r="U10" s="30" t="str">
        <f t="shared" si="3"/>
        <v/>
      </c>
      <c r="V10" s="8" t="str">
        <f t="shared" si="0"/>
        <v/>
      </c>
      <c r="W10" s="8" t="str">
        <f t="shared" si="4"/>
        <v/>
      </c>
      <c r="X10" s="8" t="str">
        <f t="shared" si="5"/>
        <v/>
      </c>
      <c r="Y10" s="8" t="str">
        <f t="shared" si="6"/>
        <v/>
      </c>
      <c r="Z10" s="8" t="str">
        <f t="shared" si="7"/>
        <v/>
      </c>
    </row>
    <row r="11" spans="1:26" ht="30">
      <c r="A11" s="27" t="s">
        <v>1031</v>
      </c>
      <c r="B11" s="27" t="s">
        <v>1032</v>
      </c>
      <c r="C11" s="27" t="s">
        <v>1033</v>
      </c>
      <c r="D11" s="27" t="s">
        <v>1034</v>
      </c>
      <c r="E11" s="27" t="s">
        <v>880</v>
      </c>
      <c r="F11" s="28">
        <v>0.2</v>
      </c>
      <c r="G11" s="29">
        <v>5</v>
      </c>
      <c r="H11" s="27" t="s">
        <v>908</v>
      </c>
      <c r="I11" s="27" t="s">
        <v>631</v>
      </c>
      <c r="J11" s="27" t="s">
        <v>513</v>
      </c>
      <c r="K11" s="27" t="s">
        <v>597</v>
      </c>
      <c r="L11" s="27" t="s">
        <v>598</v>
      </c>
      <c r="M11" s="29"/>
      <c r="N11" s="29"/>
      <c r="O11" s="29"/>
      <c r="P11" s="27" t="s">
        <v>101</v>
      </c>
      <c r="Q11" s="27">
        <v>5</v>
      </c>
      <c r="R11" s="14"/>
      <c r="S11" s="14"/>
      <c r="T11" s="30" t="str">
        <f t="shared" si="2"/>
        <v/>
      </c>
      <c r="U11" s="30" t="str">
        <f t="shared" si="3"/>
        <v/>
      </c>
      <c r="V11" s="8" t="str">
        <f t="shared" si="0"/>
        <v/>
      </c>
      <c r="W11" s="8" t="str">
        <f t="shared" si="4"/>
        <v/>
      </c>
      <c r="X11" s="8" t="str">
        <f t="shared" si="5"/>
        <v/>
      </c>
      <c r="Y11" s="8" t="str">
        <f t="shared" si="6"/>
        <v/>
      </c>
      <c r="Z11" s="8" t="str">
        <f t="shared" si="7"/>
        <v/>
      </c>
    </row>
    <row r="12" spans="1:26" ht="30">
      <c r="A12" s="27" t="s">
        <v>1042</v>
      </c>
      <c r="B12" s="27" t="s">
        <v>1043</v>
      </c>
      <c r="C12" s="27" t="s">
        <v>1044</v>
      </c>
      <c r="D12" s="27" t="s">
        <v>1045</v>
      </c>
      <c r="E12" s="27" t="s">
        <v>1046</v>
      </c>
      <c r="F12" s="28">
        <v>1</v>
      </c>
      <c r="G12" s="29">
        <v>3</v>
      </c>
      <c r="H12" s="27" t="s">
        <v>1047</v>
      </c>
      <c r="I12" s="27" t="s">
        <v>1048</v>
      </c>
      <c r="J12" s="27" t="s">
        <v>760</v>
      </c>
      <c r="K12" s="27" t="s">
        <v>761</v>
      </c>
      <c r="L12" s="27" t="s">
        <v>515</v>
      </c>
      <c r="M12" s="29"/>
      <c r="N12" s="29"/>
      <c r="O12" s="29"/>
      <c r="P12" s="27" t="s">
        <v>263</v>
      </c>
      <c r="Q12" s="27">
        <v>7</v>
      </c>
      <c r="R12" s="14"/>
      <c r="S12" s="14"/>
      <c r="T12" s="30" t="str">
        <f t="shared" si="2"/>
        <v/>
      </c>
      <c r="U12" s="30" t="str">
        <f t="shared" si="3"/>
        <v/>
      </c>
      <c r="V12" s="8" t="str">
        <f t="shared" si="0"/>
        <v/>
      </c>
      <c r="W12" s="8" t="str">
        <f t="shared" si="4"/>
        <v/>
      </c>
      <c r="X12" s="8" t="str">
        <f t="shared" si="5"/>
        <v/>
      </c>
      <c r="Y12" s="8" t="str">
        <f t="shared" si="6"/>
        <v/>
      </c>
      <c r="Z12" s="8" t="str">
        <f t="shared" si="7"/>
        <v/>
      </c>
    </row>
    <row r="13" spans="1:26" ht="30">
      <c r="A13" s="27" t="s">
        <v>1055</v>
      </c>
      <c r="B13" s="27" t="s">
        <v>1056</v>
      </c>
      <c r="C13" s="27" t="s">
        <v>1057</v>
      </c>
      <c r="D13" s="27" t="s">
        <v>1058</v>
      </c>
      <c r="E13" s="27" t="s">
        <v>880</v>
      </c>
      <c r="F13" s="28">
        <v>0.2</v>
      </c>
      <c r="G13" s="29">
        <v>5</v>
      </c>
      <c r="H13" s="27" t="s">
        <v>1059</v>
      </c>
      <c r="I13" s="27" t="s">
        <v>631</v>
      </c>
      <c r="J13" s="27" t="s">
        <v>513</v>
      </c>
      <c r="K13" s="27" t="s">
        <v>597</v>
      </c>
      <c r="L13" s="27" t="s">
        <v>598</v>
      </c>
      <c r="M13" s="29"/>
      <c r="N13" s="29"/>
      <c r="O13" s="29"/>
      <c r="P13" s="27" t="s">
        <v>101</v>
      </c>
      <c r="Q13" s="27">
        <v>8</v>
      </c>
      <c r="R13" s="14"/>
      <c r="S13" s="14"/>
      <c r="T13" s="30" t="str">
        <f t="shared" si="2"/>
        <v/>
      </c>
      <c r="U13" s="30" t="str">
        <f t="shared" si="3"/>
        <v/>
      </c>
      <c r="V13" s="8" t="str">
        <f t="shared" si="0"/>
        <v/>
      </c>
      <c r="W13" s="8" t="str">
        <f t="shared" si="4"/>
        <v/>
      </c>
      <c r="X13" s="8" t="str">
        <f t="shared" si="5"/>
        <v/>
      </c>
      <c r="Y13" s="8" t="str">
        <f t="shared" si="6"/>
        <v/>
      </c>
      <c r="Z13" s="8" t="str">
        <f t="shared" si="7"/>
        <v/>
      </c>
    </row>
    <row r="14" spans="1:26" ht="30">
      <c r="A14" s="27" t="s">
        <v>1070</v>
      </c>
      <c r="B14" s="27" t="s">
        <v>1071</v>
      </c>
      <c r="C14" s="27" t="s">
        <v>1072</v>
      </c>
      <c r="D14" s="27" t="s">
        <v>1073</v>
      </c>
      <c r="E14" s="27" t="s">
        <v>1074</v>
      </c>
      <c r="F14" s="28">
        <v>1</v>
      </c>
      <c r="G14" s="29">
        <v>3</v>
      </c>
      <c r="H14" s="27" t="s">
        <v>1075</v>
      </c>
      <c r="I14" s="27" t="s">
        <v>1076</v>
      </c>
      <c r="J14" s="27" t="s">
        <v>760</v>
      </c>
      <c r="K14" s="27" t="s">
        <v>761</v>
      </c>
      <c r="L14" s="27" t="s">
        <v>484</v>
      </c>
      <c r="M14" s="29"/>
      <c r="N14" s="29"/>
      <c r="O14" s="29"/>
      <c r="P14" s="27" t="s">
        <v>263</v>
      </c>
      <c r="Q14" s="27">
        <v>10</v>
      </c>
      <c r="R14" s="14"/>
      <c r="S14" s="14"/>
      <c r="T14" s="30" t="str">
        <f t="shared" si="2"/>
        <v/>
      </c>
      <c r="U14" s="30" t="str">
        <f t="shared" si="3"/>
        <v/>
      </c>
      <c r="V14" s="8" t="str">
        <f t="shared" si="0"/>
        <v/>
      </c>
      <c r="W14" s="8" t="str">
        <f t="shared" si="4"/>
        <v/>
      </c>
      <c r="X14" s="8" t="str">
        <f t="shared" si="5"/>
        <v/>
      </c>
      <c r="Y14" s="8" t="str">
        <f t="shared" si="6"/>
        <v/>
      </c>
      <c r="Z14" s="8" t="str">
        <f t="shared" si="7"/>
        <v/>
      </c>
    </row>
    <row r="15" spans="1:26" ht="30">
      <c r="A15" s="27" t="s">
        <v>1082</v>
      </c>
      <c r="B15" s="27" t="s">
        <v>1083</v>
      </c>
      <c r="C15" s="27" t="s">
        <v>1084</v>
      </c>
      <c r="D15" s="27" t="s">
        <v>1085</v>
      </c>
      <c r="E15" s="27" t="s">
        <v>1086</v>
      </c>
      <c r="F15" s="28">
        <v>1</v>
      </c>
      <c r="G15" s="29">
        <v>5</v>
      </c>
      <c r="H15" s="27" t="s">
        <v>1087</v>
      </c>
      <c r="I15" s="27" t="s">
        <v>759</v>
      </c>
      <c r="J15" s="27" t="s">
        <v>760</v>
      </c>
      <c r="K15" s="27" t="s">
        <v>761</v>
      </c>
      <c r="L15" s="27" t="s">
        <v>515</v>
      </c>
      <c r="M15" s="29"/>
      <c r="N15" s="29"/>
      <c r="O15" s="29"/>
      <c r="P15" s="27" t="s">
        <v>263</v>
      </c>
      <c r="Q15" s="27">
        <v>10</v>
      </c>
      <c r="R15" s="14"/>
      <c r="S15" s="14"/>
      <c r="T15" s="30" t="str">
        <f t="shared" si="2"/>
        <v/>
      </c>
      <c r="U15" s="30" t="str">
        <f t="shared" si="3"/>
        <v/>
      </c>
      <c r="V15" s="8" t="str">
        <f t="shared" si="0"/>
        <v/>
      </c>
      <c r="W15" s="8" t="str">
        <f t="shared" si="4"/>
        <v/>
      </c>
      <c r="X15" s="8" t="str">
        <f t="shared" si="5"/>
        <v/>
      </c>
      <c r="Y15" s="8" t="str">
        <f t="shared" si="6"/>
        <v/>
      </c>
      <c r="Z15" s="8" t="str">
        <f t="shared" si="7"/>
        <v/>
      </c>
    </row>
    <row r="16" spans="1:26" ht="30">
      <c r="A16" s="27" t="s">
        <v>1089</v>
      </c>
      <c r="B16" s="27" t="s">
        <v>1090</v>
      </c>
      <c r="C16" s="27" t="s">
        <v>1091</v>
      </c>
      <c r="D16" s="27" t="s">
        <v>1092</v>
      </c>
      <c r="E16" s="27" t="s">
        <v>880</v>
      </c>
      <c r="F16" s="28">
        <v>0.25</v>
      </c>
      <c r="G16" s="29">
        <v>3</v>
      </c>
      <c r="H16" s="27" t="s">
        <v>908</v>
      </c>
      <c r="I16" s="27" t="s">
        <v>631</v>
      </c>
      <c r="J16" s="27" t="s">
        <v>513</v>
      </c>
      <c r="K16" s="27" t="s">
        <v>597</v>
      </c>
      <c r="L16" s="27" t="s">
        <v>598</v>
      </c>
      <c r="M16" s="29"/>
      <c r="N16" s="29"/>
      <c r="O16" s="29"/>
      <c r="P16" s="27" t="s">
        <v>101</v>
      </c>
      <c r="Q16" s="27">
        <v>10</v>
      </c>
      <c r="R16" s="14"/>
      <c r="S16" s="14"/>
      <c r="T16" s="30" t="str">
        <f t="shared" si="2"/>
        <v/>
      </c>
      <c r="U16" s="30" t="str">
        <f t="shared" si="3"/>
        <v/>
      </c>
      <c r="V16" s="8" t="str">
        <f t="shared" si="0"/>
        <v/>
      </c>
      <c r="W16" s="8" t="str">
        <f t="shared" si="4"/>
        <v/>
      </c>
      <c r="X16" s="8" t="str">
        <f t="shared" si="5"/>
        <v/>
      </c>
      <c r="Y16" s="8" t="str">
        <f t="shared" si="6"/>
        <v/>
      </c>
      <c r="Z16" s="8" t="str">
        <f t="shared" si="7"/>
        <v/>
      </c>
    </row>
    <row r="17" spans="1:26">
      <c r="A17" s="20">
        <v>6.2</v>
      </c>
      <c r="B17" s="20" t="s">
        <v>1095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>
        <f>SUM(Q18:Q24)</f>
        <v>60</v>
      </c>
      <c r="R17" s="20"/>
      <c r="S17" s="20"/>
      <c r="T17" s="24">
        <f>SUM(T18:T24)</f>
        <v>0</v>
      </c>
      <c r="U17" s="24" t="str">
        <f>IF(COUNT(T18:T24)=0,"",ROUND(T17/Q17*100,2))</f>
        <v/>
      </c>
      <c r="V17" s="20" t="str">
        <f t="shared" si="0"/>
        <v/>
      </c>
      <c r="W17" s="20">
        <f t="shared" ref="W17:Z17" si="8">SUM(W18:W24)</f>
        <v>0</v>
      </c>
      <c r="X17" s="20">
        <f t="shared" si="8"/>
        <v>0</v>
      </c>
      <c r="Y17" s="20">
        <f t="shared" si="8"/>
        <v>0</v>
      </c>
      <c r="Z17" s="20">
        <f t="shared" si="8"/>
        <v>0</v>
      </c>
    </row>
    <row r="18" spans="1:26" ht="30">
      <c r="A18" s="27" t="s">
        <v>1097</v>
      </c>
      <c r="B18" s="27" t="s">
        <v>1098</v>
      </c>
      <c r="C18" s="27" t="s">
        <v>1099</v>
      </c>
      <c r="D18" s="27" t="s">
        <v>1100</v>
      </c>
      <c r="E18" s="27" t="s">
        <v>1080</v>
      </c>
      <c r="F18" s="28">
        <v>0.25</v>
      </c>
      <c r="G18" s="29">
        <v>10</v>
      </c>
      <c r="H18" s="27" t="s">
        <v>1101</v>
      </c>
      <c r="I18" s="27" t="s">
        <v>1102</v>
      </c>
      <c r="J18" s="27" t="s">
        <v>760</v>
      </c>
      <c r="K18" s="27" t="s">
        <v>1103</v>
      </c>
      <c r="L18" s="27" t="s">
        <v>515</v>
      </c>
      <c r="M18" s="29"/>
      <c r="N18" s="29"/>
      <c r="O18" s="29"/>
      <c r="P18" s="27" t="s">
        <v>263</v>
      </c>
      <c r="Q18" s="27">
        <v>6</v>
      </c>
      <c r="R18" s="14"/>
      <c r="S18" s="14"/>
      <c r="T18" s="30" t="str">
        <f t="shared" ref="T18:T24" si="9">IF(OR(S18="",R18="",R18=0),"",ROUND(Q18*MIN(S18/R18,1),2))</f>
        <v/>
      </c>
      <c r="U18" s="30" t="str">
        <f t="shared" ref="U18:U24" si="10">IF(T18="","",ROUND(T18/Q18*100,2))</f>
        <v/>
      </c>
      <c r="V18" s="8" t="str">
        <f t="shared" si="0"/>
        <v/>
      </c>
      <c r="W18" s="8" t="str">
        <f t="shared" ref="W18:W24" si="11">IF($V18="Y",1,"")</f>
        <v/>
      </c>
      <c r="X18" s="8" t="str">
        <f t="shared" ref="X18:X24" si="12">IF($V18="C",1,"")</f>
        <v/>
      </c>
      <c r="Y18" s="8" t="str">
        <f t="shared" ref="Y18:Y24" si="13">IF($V18="W",1,"")</f>
        <v/>
      </c>
      <c r="Z18" s="8" t="str">
        <f t="shared" ref="Z18:Z24" si="14">IF($V18="D",1,"")</f>
        <v/>
      </c>
    </row>
    <row r="19" spans="1:26" ht="30">
      <c r="A19" s="27" t="s">
        <v>1107</v>
      </c>
      <c r="B19" s="27" t="s">
        <v>1108</v>
      </c>
      <c r="C19" s="27" t="s">
        <v>1109</v>
      </c>
      <c r="D19" s="27" t="s">
        <v>1110</v>
      </c>
      <c r="E19" s="27" t="s">
        <v>1111</v>
      </c>
      <c r="F19" s="28">
        <v>0.5</v>
      </c>
      <c r="G19" s="29">
        <v>5</v>
      </c>
      <c r="H19" s="27" t="s">
        <v>1112</v>
      </c>
      <c r="I19" s="27" t="s">
        <v>730</v>
      </c>
      <c r="J19" s="27" t="s">
        <v>760</v>
      </c>
      <c r="K19" s="27" t="s">
        <v>761</v>
      </c>
      <c r="L19" s="27" t="s">
        <v>515</v>
      </c>
      <c r="M19" s="29"/>
      <c r="N19" s="29"/>
      <c r="O19" s="29"/>
      <c r="P19" s="27" t="s">
        <v>263</v>
      </c>
      <c r="Q19" s="27">
        <v>4</v>
      </c>
      <c r="R19" s="14"/>
      <c r="S19" s="14"/>
      <c r="T19" s="30" t="str">
        <f t="shared" si="9"/>
        <v/>
      </c>
      <c r="U19" s="30" t="str">
        <f t="shared" si="10"/>
        <v/>
      </c>
      <c r="V19" s="8" t="str">
        <f t="shared" si="0"/>
        <v/>
      </c>
      <c r="W19" s="8" t="str">
        <f t="shared" si="11"/>
        <v/>
      </c>
      <c r="X19" s="8" t="str">
        <f t="shared" si="12"/>
        <v/>
      </c>
      <c r="Y19" s="8" t="str">
        <f t="shared" si="13"/>
        <v/>
      </c>
      <c r="Z19" s="8" t="str">
        <f t="shared" si="14"/>
        <v/>
      </c>
    </row>
    <row r="20" spans="1:26" ht="30">
      <c r="A20" s="27" t="s">
        <v>1115</v>
      </c>
      <c r="B20" s="27" t="s">
        <v>1116</v>
      </c>
      <c r="C20" s="27" t="s">
        <v>1117</v>
      </c>
      <c r="D20" s="27" t="s">
        <v>1118</v>
      </c>
      <c r="E20" s="27" t="s">
        <v>1119</v>
      </c>
      <c r="F20" s="28">
        <v>1</v>
      </c>
      <c r="G20" s="29">
        <v>3</v>
      </c>
      <c r="H20" s="27" t="s">
        <v>1120</v>
      </c>
      <c r="I20" s="27" t="s">
        <v>759</v>
      </c>
      <c r="J20" s="27" t="s">
        <v>760</v>
      </c>
      <c r="K20" s="27" t="s">
        <v>761</v>
      </c>
      <c r="L20" s="27" t="s">
        <v>515</v>
      </c>
      <c r="M20" s="29"/>
      <c r="N20" s="29"/>
      <c r="O20" s="29"/>
      <c r="P20" s="27" t="s">
        <v>263</v>
      </c>
      <c r="Q20" s="27">
        <v>5</v>
      </c>
      <c r="R20" s="14"/>
      <c r="S20" s="14"/>
      <c r="T20" s="30" t="str">
        <f t="shared" si="9"/>
        <v/>
      </c>
      <c r="U20" s="30" t="str">
        <f t="shared" si="10"/>
        <v/>
      </c>
      <c r="V20" s="8" t="str">
        <f t="shared" si="0"/>
        <v/>
      </c>
      <c r="W20" s="8" t="str">
        <f t="shared" si="11"/>
        <v/>
      </c>
      <c r="X20" s="8" t="str">
        <f t="shared" si="12"/>
        <v/>
      </c>
      <c r="Y20" s="8" t="str">
        <f t="shared" si="13"/>
        <v/>
      </c>
      <c r="Z20" s="8" t="str">
        <f t="shared" si="14"/>
        <v/>
      </c>
    </row>
    <row r="21" spans="1:26" ht="15.75" customHeight="1">
      <c r="A21" s="27" t="s">
        <v>1122</v>
      </c>
      <c r="B21" s="27" t="s">
        <v>1123</v>
      </c>
      <c r="C21" s="27" t="s">
        <v>1124</v>
      </c>
      <c r="D21" s="27" t="s">
        <v>1125</v>
      </c>
      <c r="E21" s="27" t="s">
        <v>757</v>
      </c>
      <c r="F21" s="28">
        <v>1</v>
      </c>
      <c r="G21" s="29">
        <v>3</v>
      </c>
      <c r="H21" s="27" t="s">
        <v>1126</v>
      </c>
      <c r="I21" s="27" t="s">
        <v>759</v>
      </c>
      <c r="J21" s="27" t="s">
        <v>760</v>
      </c>
      <c r="K21" s="27" t="s">
        <v>761</v>
      </c>
      <c r="L21" s="27" t="s">
        <v>515</v>
      </c>
      <c r="M21" s="29"/>
      <c r="N21" s="29"/>
      <c r="O21" s="29"/>
      <c r="P21" s="27" t="s">
        <v>263</v>
      </c>
      <c r="Q21" s="27">
        <v>10</v>
      </c>
      <c r="R21" s="14"/>
      <c r="S21" s="14"/>
      <c r="T21" s="30" t="str">
        <f t="shared" si="9"/>
        <v/>
      </c>
      <c r="U21" s="30" t="str">
        <f t="shared" si="10"/>
        <v/>
      </c>
      <c r="V21" s="8" t="str">
        <f t="shared" si="0"/>
        <v/>
      </c>
      <c r="W21" s="8" t="str">
        <f t="shared" si="11"/>
        <v/>
      </c>
      <c r="X21" s="8" t="str">
        <f t="shared" si="12"/>
        <v/>
      </c>
      <c r="Y21" s="8" t="str">
        <f t="shared" si="13"/>
        <v/>
      </c>
      <c r="Z21" s="8" t="str">
        <f t="shared" si="14"/>
        <v/>
      </c>
    </row>
    <row r="22" spans="1:26" ht="15.75" customHeight="1">
      <c r="A22" s="27" t="s">
        <v>1131</v>
      </c>
      <c r="B22" s="27" t="s">
        <v>1134</v>
      </c>
      <c r="C22" s="27" t="s">
        <v>1135</v>
      </c>
      <c r="D22" s="27" t="s">
        <v>1137</v>
      </c>
      <c r="E22" s="27" t="s">
        <v>439</v>
      </c>
      <c r="F22" s="28">
        <v>1</v>
      </c>
      <c r="G22" s="29">
        <v>3</v>
      </c>
      <c r="H22" s="27" t="s">
        <v>1140</v>
      </c>
      <c r="I22" s="27" t="s">
        <v>1141</v>
      </c>
      <c r="J22" s="27" t="s">
        <v>760</v>
      </c>
      <c r="K22" s="27" t="s">
        <v>761</v>
      </c>
      <c r="L22" s="27" t="s">
        <v>912</v>
      </c>
      <c r="M22" s="29"/>
      <c r="N22" s="29"/>
      <c r="O22" s="29"/>
      <c r="P22" s="27" t="s">
        <v>263</v>
      </c>
      <c r="Q22" s="27">
        <v>15</v>
      </c>
      <c r="R22" s="14"/>
      <c r="S22" s="14"/>
      <c r="T22" s="30" t="str">
        <f t="shared" si="9"/>
        <v/>
      </c>
      <c r="U22" s="30" t="str">
        <f t="shared" si="10"/>
        <v/>
      </c>
      <c r="V22" s="8" t="str">
        <f t="shared" si="0"/>
        <v/>
      </c>
      <c r="W22" s="8" t="str">
        <f t="shared" si="11"/>
        <v/>
      </c>
      <c r="X22" s="8" t="str">
        <f t="shared" si="12"/>
        <v/>
      </c>
      <c r="Y22" s="8" t="str">
        <f t="shared" si="13"/>
        <v/>
      </c>
      <c r="Z22" s="8" t="str">
        <f t="shared" si="14"/>
        <v/>
      </c>
    </row>
    <row r="23" spans="1:26" ht="15.75" customHeight="1">
      <c r="A23" s="27" t="s">
        <v>1143</v>
      </c>
      <c r="B23" s="27" t="s">
        <v>1144</v>
      </c>
      <c r="C23" s="27" t="s">
        <v>1145</v>
      </c>
      <c r="D23" s="27" t="s">
        <v>1146</v>
      </c>
      <c r="E23" s="27" t="s">
        <v>1147</v>
      </c>
      <c r="F23" s="28">
        <v>1</v>
      </c>
      <c r="G23" s="29">
        <v>3</v>
      </c>
      <c r="H23" s="27" t="s">
        <v>1148</v>
      </c>
      <c r="I23" s="27" t="s">
        <v>1141</v>
      </c>
      <c r="J23" s="27" t="s">
        <v>760</v>
      </c>
      <c r="K23" s="27" t="s">
        <v>761</v>
      </c>
      <c r="L23" s="27" t="s">
        <v>912</v>
      </c>
      <c r="M23" s="29"/>
      <c r="N23" s="29"/>
      <c r="O23" s="29"/>
      <c r="P23" s="27" t="s">
        <v>263</v>
      </c>
      <c r="Q23" s="27">
        <v>15</v>
      </c>
      <c r="R23" s="14"/>
      <c r="S23" s="14"/>
      <c r="T23" s="30" t="str">
        <f t="shared" si="9"/>
        <v/>
      </c>
      <c r="U23" s="30" t="str">
        <f t="shared" si="10"/>
        <v/>
      </c>
      <c r="V23" s="8" t="str">
        <f t="shared" si="0"/>
        <v/>
      </c>
      <c r="W23" s="8" t="str">
        <f t="shared" si="11"/>
        <v/>
      </c>
      <c r="X23" s="8" t="str">
        <f t="shared" si="12"/>
        <v/>
      </c>
      <c r="Y23" s="8" t="str">
        <f t="shared" si="13"/>
        <v/>
      </c>
      <c r="Z23" s="8" t="str">
        <f t="shared" si="14"/>
        <v/>
      </c>
    </row>
    <row r="24" spans="1:26" ht="15.75" customHeight="1">
      <c r="A24" s="27" t="s">
        <v>1149</v>
      </c>
      <c r="B24" s="27" t="s">
        <v>1150</v>
      </c>
      <c r="C24" s="27" t="s">
        <v>1151</v>
      </c>
      <c r="D24" s="27" t="s">
        <v>1152</v>
      </c>
      <c r="E24" s="27" t="s">
        <v>1153</v>
      </c>
      <c r="F24" s="28">
        <v>1</v>
      </c>
      <c r="G24" s="29">
        <v>3</v>
      </c>
      <c r="H24" s="27" t="s">
        <v>1154</v>
      </c>
      <c r="I24" s="27" t="s">
        <v>1155</v>
      </c>
      <c r="J24" s="27" t="s">
        <v>760</v>
      </c>
      <c r="K24" s="27" t="s">
        <v>761</v>
      </c>
      <c r="L24" s="27" t="s">
        <v>484</v>
      </c>
      <c r="M24" s="29"/>
      <c r="N24" s="29"/>
      <c r="O24" s="29"/>
      <c r="P24" s="27" t="s">
        <v>263</v>
      </c>
      <c r="Q24" s="27">
        <v>5</v>
      </c>
      <c r="R24" s="14"/>
      <c r="S24" s="14"/>
      <c r="T24" s="30" t="str">
        <f t="shared" si="9"/>
        <v/>
      </c>
      <c r="U24" s="30" t="str">
        <f t="shared" si="10"/>
        <v/>
      </c>
      <c r="V24" s="8" t="str">
        <f t="shared" si="0"/>
        <v/>
      </c>
      <c r="W24" s="8" t="str">
        <f t="shared" si="11"/>
        <v/>
      </c>
      <c r="X24" s="8" t="str">
        <f t="shared" si="12"/>
        <v/>
      </c>
      <c r="Y24" s="8" t="str">
        <f t="shared" si="13"/>
        <v/>
      </c>
      <c r="Z24" s="8" t="str">
        <f t="shared" si="14"/>
        <v/>
      </c>
    </row>
    <row r="25" spans="1:26" ht="15.75" customHeight="1">
      <c r="A25" s="5" t="s">
        <v>69</v>
      </c>
      <c r="B25" s="5" t="s">
        <v>1166</v>
      </c>
      <c r="P25" s="26"/>
      <c r="Q25" s="26">
        <f>Q8+Q17</f>
        <v>120</v>
      </c>
      <c r="R25" s="26"/>
      <c r="S25" s="26"/>
      <c r="T25" s="32">
        <f>T8+T17</f>
        <v>0</v>
      </c>
      <c r="U25" s="32" t="str">
        <f>IF(T25=0,"",ROUND(T25/Q25*100,2))</f>
        <v/>
      </c>
      <c r="V25" s="26" t="str">
        <f t="shared" si="0"/>
        <v/>
      </c>
      <c r="W25" s="26">
        <f t="shared" ref="W25:Z25" si="15">W8+W17</f>
        <v>0</v>
      </c>
      <c r="X25" s="26">
        <f t="shared" si="15"/>
        <v>0</v>
      </c>
      <c r="Y25" s="26">
        <f t="shared" si="15"/>
        <v>0</v>
      </c>
      <c r="Z25" s="26">
        <f t="shared" si="15"/>
        <v>0</v>
      </c>
    </row>
    <row r="26" spans="1:26" ht="15.75" customHeight="1">
      <c r="A26" s="5"/>
      <c r="B26" s="5"/>
      <c r="C26" s="5"/>
      <c r="D26" s="5"/>
      <c r="E26" s="5"/>
      <c r="F26" s="3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4"/>
      <c r="U26" s="34"/>
      <c r="V26" s="5"/>
      <c r="W26" s="5"/>
      <c r="X26" s="5"/>
      <c r="Y26" s="5"/>
      <c r="Z26" s="5"/>
    </row>
    <row r="27" spans="1:26" ht="15.75" customHeight="1">
      <c r="A27" s="5"/>
      <c r="B27" s="5"/>
      <c r="C27" s="5"/>
      <c r="D27" s="5"/>
      <c r="E27" s="5"/>
      <c r="F27" s="3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34"/>
      <c r="U27" s="34"/>
      <c r="V27" s="5"/>
      <c r="W27" s="5"/>
      <c r="X27" s="5"/>
      <c r="Y27" s="5"/>
      <c r="Z27" s="5"/>
    </row>
    <row r="28" spans="1:26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34"/>
      <c r="U28" s="34"/>
      <c r="V28" s="5"/>
      <c r="W28" s="5"/>
      <c r="X28" s="5"/>
      <c r="Y28" s="5"/>
      <c r="Z28" s="5"/>
    </row>
    <row r="29" spans="1:26" ht="15.75" customHeight="1">
      <c r="A29" s="5"/>
      <c r="B29" s="5"/>
      <c r="C29" s="5"/>
      <c r="D29" s="5"/>
      <c r="E29" s="5"/>
      <c r="F29" s="3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34"/>
      <c r="U29" s="34"/>
      <c r="V29" s="5"/>
      <c r="W29" s="5"/>
      <c r="X29" s="5"/>
      <c r="Y29" s="5"/>
      <c r="Z29" s="5"/>
    </row>
    <row r="30" spans="1:26" ht="15.75" customHeight="1">
      <c r="A30" s="5"/>
      <c r="B30" s="5"/>
      <c r="C30" s="5"/>
      <c r="D30" s="5"/>
      <c r="E30" s="5"/>
      <c r="F30" s="3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34"/>
      <c r="U30" s="34"/>
      <c r="V30" s="5"/>
      <c r="W30" s="5"/>
      <c r="X30" s="5"/>
      <c r="Y30" s="5"/>
      <c r="Z30" s="5"/>
    </row>
  </sheetData>
  <mergeCells count="4">
    <mergeCell ref="A2:L2"/>
    <mergeCell ref="A3:L3"/>
    <mergeCell ref="A4:L4"/>
    <mergeCell ref="A5:L5"/>
  </mergeCells>
  <conditionalFormatting sqref="V8:V25">
    <cfRule type="cellIs" dxfId="25" priority="1" stopIfTrue="1" operator="equal">
      <formula>0</formula>
    </cfRule>
    <cfRule type="cellIs" dxfId="24" priority="2" stopIfTrue="1" operator="equal">
      <formula>0</formula>
    </cfRule>
    <cfRule type="cellIs" dxfId="23" priority="3" stopIfTrue="1" operator="equal">
      <formula>0</formula>
    </cfRule>
    <cfRule type="cellIs" dxfId="22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1105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1106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7.1</v>
      </c>
      <c r="B8" s="20" t="s">
        <v>1113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SUM(Q9:Q12)</f>
        <v>40</v>
      </c>
      <c r="R8" s="20"/>
      <c r="S8" s="20"/>
      <c r="T8" s="24">
        <f>SUM(T9:T12)</f>
        <v>0</v>
      </c>
      <c r="U8" s="24" t="str">
        <f>IF(COUNT(T9:T12)=0,"",ROUND(T8/Q8*100,2))</f>
        <v/>
      </c>
      <c r="V8" s="20" t="str">
        <f t="shared" ref="V8:V25" si="0">IF(U8="","",IF(U8&gt;YT*100,"Y",IF(U8&gt;=CT*100,"C",IF(U8&gt;=WT*100,"W","D"))))</f>
        <v/>
      </c>
      <c r="W8" s="20">
        <f t="shared" ref="W8:Z8" si="1">SUM(W9:W12)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30">
      <c r="A9" s="27" t="s">
        <v>1127</v>
      </c>
      <c r="B9" s="27" t="s">
        <v>1128</v>
      </c>
      <c r="C9" s="27" t="s">
        <v>1128</v>
      </c>
      <c r="D9" s="27" t="s">
        <v>1129</v>
      </c>
      <c r="E9" s="27" t="s">
        <v>1130</v>
      </c>
      <c r="F9" s="28">
        <v>0.5</v>
      </c>
      <c r="G9" s="29">
        <v>3</v>
      </c>
      <c r="H9" s="27" t="s">
        <v>1132</v>
      </c>
      <c r="I9" s="27" t="s">
        <v>1133</v>
      </c>
      <c r="J9" s="27" t="s">
        <v>1136</v>
      </c>
      <c r="K9" s="27" t="s">
        <v>1138</v>
      </c>
      <c r="L9" s="27" t="s">
        <v>1139</v>
      </c>
      <c r="M9" s="29"/>
      <c r="N9" s="29"/>
      <c r="O9" s="29"/>
      <c r="P9" s="27" t="s">
        <v>101</v>
      </c>
      <c r="Q9" s="27">
        <v>10</v>
      </c>
      <c r="R9" s="14"/>
      <c r="S9" s="14"/>
      <c r="T9" s="30" t="str">
        <f t="shared" ref="T9:T12" si="2">IF(OR(S9="",R9="",R9=0),"",ROUND(Q9*MIN(S9/R9,1),2))</f>
        <v/>
      </c>
      <c r="U9" s="30" t="str">
        <f t="shared" ref="U9:U12" si="3">IF(T9="","",ROUND(T9/Q9*100,2))</f>
        <v/>
      </c>
      <c r="V9" s="8" t="str">
        <f t="shared" si="0"/>
        <v/>
      </c>
      <c r="W9" s="8" t="str">
        <f t="shared" ref="W9:W12" si="4">IF($V9="Y",1,"")</f>
        <v/>
      </c>
      <c r="X9" s="8" t="str">
        <f t="shared" ref="X9:X12" si="5">IF($V9="C",1,"")</f>
        <v/>
      </c>
      <c r="Y9" s="8" t="str">
        <f t="shared" ref="Y9:Y12" si="6">IF($V9="W",1,"")</f>
        <v/>
      </c>
      <c r="Z9" s="8" t="str">
        <f t="shared" ref="Z9:Z12" si="7">IF($V9="D",1,"")</f>
        <v/>
      </c>
    </row>
    <row r="10" spans="1:26" ht="30">
      <c r="A10" s="27" t="s">
        <v>1157</v>
      </c>
      <c r="B10" s="27" t="s">
        <v>1158</v>
      </c>
      <c r="C10" s="27" t="s">
        <v>1158</v>
      </c>
      <c r="D10" s="27" t="s">
        <v>1159</v>
      </c>
      <c r="E10" s="27" t="s">
        <v>1160</v>
      </c>
      <c r="F10" s="28">
        <v>0.05</v>
      </c>
      <c r="G10" s="29">
        <v>15</v>
      </c>
      <c r="H10" s="27" t="s">
        <v>1161</v>
      </c>
      <c r="I10" s="27" t="s">
        <v>1162</v>
      </c>
      <c r="J10" s="27" t="s">
        <v>1163</v>
      </c>
      <c r="K10" s="27" t="s">
        <v>1164</v>
      </c>
      <c r="L10" s="27" t="s">
        <v>1165</v>
      </c>
      <c r="M10" s="29"/>
      <c r="N10" s="29"/>
      <c r="O10" s="29"/>
      <c r="P10" s="27" t="s">
        <v>101</v>
      </c>
      <c r="Q10" s="27">
        <v>10</v>
      </c>
      <c r="R10" s="14"/>
      <c r="S10" s="14"/>
      <c r="T10" s="30" t="str">
        <f t="shared" si="2"/>
        <v/>
      </c>
      <c r="U10" s="30" t="str">
        <f t="shared" si="3"/>
        <v/>
      </c>
      <c r="V10" s="8" t="str">
        <f t="shared" si="0"/>
        <v/>
      </c>
      <c r="W10" s="8" t="str">
        <f t="shared" si="4"/>
        <v/>
      </c>
      <c r="X10" s="8" t="str">
        <f t="shared" si="5"/>
        <v/>
      </c>
      <c r="Y10" s="8" t="str">
        <f t="shared" si="6"/>
        <v/>
      </c>
      <c r="Z10" s="8" t="str">
        <f t="shared" si="7"/>
        <v/>
      </c>
    </row>
    <row r="11" spans="1:26" ht="30">
      <c r="A11" s="27" t="s">
        <v>1167</v>
      </c>
      <c r="B11" s="27" t="s">
        <v>1168</v>
      </c>
      <c r="C11" s="27" t="s">
        <v>1168</v>
      </c>
      <c r="D11" s="27" t="s">
        <v>1169</v>
      </c>
      <c r="E11" s="27" t="s">
        <v>1170</v>
      </c>
      <c r="F11" s="28">
        <v>0.1</v>
      </c>
      <c r="G11" s="29">
        <v>10</v>
      </c>
      <c r="H11" s="27" t="s">
        <v>1171</v>
      </c>
      <c r="I11" s="27" t="s">
        <v>1172</v>
      </c>
      <c r="J11" s="27" t="s">
        <v>1173</v>
      </c>
      <c r="K11" s="27" t="s">
        <v>1174</v>
      </c>
      <c r="L11" s="27" t="s">
        <v>1175</v>
      </c>
      <c r="M11" s="29"/>
      <c r="N11" s="29"/>
      <c r="O11" s="29"/>
      <c r="P11" s="27" t="s">
        <v>101</v>
      </c>
      <c r="Q11" s="27">
        <v>10</v>
      </c>
      <c r="R11" s="14"/>
      <c r="S11" s="14"/>
      <c r="T11" s="30" t="str">
        <f t="shared" si="2"/>
        <v/>
      </c>
      <c r="U11" s="30" t="str">
        <f t="shared" si="3"/>
        <v/>
      </c>
      <c r="V11" s="8" t="str">
        <f t="shared" si="0"/>
        <v/>
      </c>
      <c r="W11" s="8" t="str">
        <f t="shared" si="4"/>
        <v/>
      </c>
      <c r="X11" s="8" t="str">
        <f t="shared" si="5"/>
        <v/>
      </c>
      <c r="Y11" s="8" t="str">
        <f t="shared" si="6"/>
        <v/>
      </c>
      <c r="Z11" s="8" t="str">
        <f t="shared" si="7"/>
        <v/>
      </c>
    </row>
    <row r="12" spans="1:26" ht="30">
      <c r="A12" s="27" t="s">
        <v>1178</v>
      </c>
      <c r="B12" s="27" t="s">
        <v>1179</v>
      </c>
      <c r="C12" s="27" t="s">
        <v>1179</v>
      </c>
      <c r="D12" s="27" t="s">
        <v>1180</v>
      </c>
      <c r="E12" s="27" t="s">
        <v>1181</v>
      </c>
      <c r="F12" s="28">
        <v>0.5</v>
      </c>
      <c r="G12" s="29">
        <v>3</v>
      </c>
      <c r="H12" s="27" t="s">
        <v>1182</v>
      </c>
      <c r="I12" s="27" t="s">
        <v>1183</v>
      </c>
      <c r="J12" s="27" t="s">
        <v>883</v>
      </c>
      <c r="K12" s="27" t="s">
        <v>874</v>
      </c>
      <c r="L12" s="27" t="s">
        <v>939</v>
      </c>
      <c r="M12" s="29"/>
      <c r="N12" s="29"/>
      <c r="O12" s="29"/>
      <c r="P12" s="27" t="s">
        <v>101</v>
      </c>
      <c r="Q12" s="27">
        <v>10</v>
      </c>
      <c r="R12" s="14"/>
      <c r="S12" s="14"/>
      <c r="T12" s="30" t="str">
        <f t="shared" si="2"/>
        <v/>
      </c>
      <c r="U12" s="30" t="str">
        <f t="shared" si="3"/>
        <v/>
      </c>
      <c r="V12" s="8" t="str">
        <f t="shared" si="0"/>
        <v/>
      </c>
      <c r="W12" s="8" t="str">
        <f t="shared" si="4"/>
        <v/>
      </c>
      <c r="X12" s="8" t="str">
        <f t="shared" si="5"/>
        <v/>
      </c>
      <c r="Y12" s="8" t="str">
        <f t="shared" si="6"/>
        <v/>
      </c>
      <c r="Z12" s="8" t="str">
        <f t="shared" si="7"/>
        <v/>
      </c>
    </row>
    <row r="13" spans="1:26">
      <c r="A13" s="20">
        <v>7.2</v>
      </c>
      <c r="B13" s="20" t="s">
        <v>1184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>SUM(Q14:Q15)</f>
        <v>20</v>
      </c>
      <c r="R13" s="20"/>
      <c r="S13" s="20"/>
      <c r="T13" s="24">
        <f>SUM(T14:T15)</f>
        <v>0</v>
      </c>
      <c r="U13" s="24" t="str">
        <f>IF(COUNT(T14:T15)=0,"",ROUND(T13/Q13*100,2))</f>
        <v/>
      </c>
      <c r="V13" s="20" t="str">
        <f t="shared" si="0"/>
        <v/>
      </c>
      <c r="W13" s="20">
        <f t="shared" ref="W13:Z13" si="8">SUM(W14:W15)</f>
        <v>0</v>
      </c>
      <c r="X13" s="20">
        <f t="shared" si="8"/>
        <v>0</v>
      </c>
      <c r="Y13" s="20">
        <f t="shared" si="8"/>
        <v>0</v>
      </c>
      <c r="Z13" s="20">
        <f t="shared" si="8"/>
        <v>0</v>
      </c>
    </row>
    <row r="14" spans="1:26" ht="30">
      <c r="A14" s="27" t="s">
        <v>1186</v>
      </c>
      <c r="B14" s="27" t="s">
        <v>1187</v>
      </c>
      <c r="C14" s="27" t="s">
        <v>1187</v>
      </c>
      <c r="D14" s="27" t="s">
        <v>1188</v>
      </c>
      <c r="E14" s="27" t="s">
        <v>1189</v>
      </c>
      <c r="F14" s="28">
        <v>1</v>
      </c>
      <c r="G14" s="29">
        <v>3</v>
      </c>
      <c r="H14" s="27" t="s">
        <v>1191</v>
      </c>
      <c r="I14" s="27" t="s">
        <v>1192</v>
      </c>
      <c r="J14" s="27" t="s">
        <v>760</v>
      </c>
      <c r="K14" s="27" t="s">
        <v>761</v>
      </c>
      <c r="L14" s="27" t="s">
        <v>484</v>
      </c>
      <c r="M14" s="29"/>
      <c r="N14" s="29"/>
      <c r="O14" s="29"/>
      <c r="P14" s="27" t="s">
        <v>263</v>
      </c>
      <c r="Q14" s="27">
        <v>10</v>
      </c>
      <c r="R14" s="14"/>
      <c r="S14" s="14"/>
      <c r="T14" s="30" t="str">
        <f t="shared" ref="T14:T15" si="9">IF(OR(S14="",R14="",R14=0),"",ROUND(Q14*MIN(S14/R14,1),2))</f>
        <v/>
      </c>
      <c r="U14" s="30" t="str">
        <f t="shared" ref="U14:U15" si="10">IF(T14="","",ROUND(T14/Q14*100,2))</f>
        <v/>
      </c>
      <c r="V14" s="8" t="str">
        <f t="shared" si="0"/>
        <v/>
      </c>
      <c r="W14" s="8" t="str">
        <f t="shared" ref="W14:W15" si="11">IF($V14="Y",1,"")</f>
        <v/>
      </c>
      <c r="X14" s="8" t="str">
        <f t="shared" ref="X14:X15" si="12">IF($V14="C",1,"")</f>
        <v/>
      </c>
      <c r="Y14" s="8" t="str">
        <f t="shared" ref="Y14:Y15" si="13">IF($V14="W",1,"")</f>
        <v/>
      </c>
      <c r="Z14" s="8" t="str">
        <f t="shared" ref="Z14:Z15" si="14">IF($V14="D",1,"")</f>
        <v/>
      </c>
    </row>
    <row r="15" spans="1:26" ht="30">
      <c r="A15" s="27" t="s">
        <v>1196</v>
      </c>
      <c r="B15" s="27" t="s">
        <v>1197</v>
      </c>
      <c r="C15" s="27" t="s">
        <v>1197</v>
      </c>
      <c r="D15" s="27" t="s">
        <v>1198</v>
      </c>
      <c r="E15" s="27" t="s">
        <v>1199</v>
      </c>
      <c r="F15" s="28">
        <v>0.1</v>
      </c>
      <c r="G15" s="29">
        <v>10</v>
      </c>
      <c r="H15" s="27" t="s">
        <v>1200</v>
      </c>
      <c r="I15" s="27" t="s">
        <v>1201</v>
      </c>
      <c r="J15" s="27" t="s">
        <v>1202</v>
      </c>
      <c r="K15" s="27" t="s">
        <v>1203</v>
      </c>
      <c r="L15" s="27" t="s">
        <v>1204</v>
      </c>
      <c r="M15" s="29"/>
      <c r="N15" s="29"/>
      <c r="O15" s="29"/>
      <c r="P15" s="27" t="s">
        <v>101</v>
      </c>
      <c r="Q15" s="27">
        <v>10</v>
      </c>
      <c r="R15" s="14"/>
      <c r="S15" s="14"/>
      <c r="T15" s="30" t="str">
        <f t="shared" si="9"/>
        <v/>
      </c>
      <c r="U15" s="30" t="str">
        <f t="shared" si="10"/>
        <v/>
      </c>
      <c r="V15" s="8" t="str">
        <f t="shared" si="0"/>
        <v/>
      </c>
      <c r="W15" s="8" t="str">
        <f t="shared" si="11"/>
        <v/>
      </c>
      <c r="X15" s="8" t="str">
        <f t="shared" si="12"/>
        <v/>
      </c>
      <c r="Y15" s="8" t="str">
        <f t="shared" si="13"/>
        <v/>
      </c>
      <c r="Z15" s="8" t="str">
        <f t="shared" si="14"/>
        <v/>
      </c>
    </row>
    <row r="16" spans="1:26">
      <c r="A16" s="20">
        <v>7.3</v>
      </c>
      <c r="B16" s="20" t="s">
        <v>1205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>SUM(Q17:Q18)</f>
        <v>10</v>
      </c>
      <c r="R16" s="20"/>
      <c r="S16" s="20"/>
      <c r="T16" s="24">
        <f>SUM(T17:T18)</f>
        <v>0</v>
      </c>
      <c r="U16" s="24" t="str">
        <f>IF(COUNT(T17:T18)=0,"",ROUND(T16/Q16*100,2))</f>
        <v/>
      </c>
      <c r="V16" s="20" t="str">
        <f t="shared" si="0"/>
        <v/>
      </c>
      <c r="W16" s="20">
        <f t="shared" ref="W16:Z16" si="15">SUM(W17:W18)</f>
        <v>0</v>
      </c>
      <c r="X16" s="20">
        <f t="shared" si="15"/>
        <v>0</v>
      </c>
      <c r="Y16" s="20">
        <f t="shared" si="15"/>
        <v>0</v>
      </c>
      <c r="Z16" s="20">
        <f t="shared" si="15"/>
        <v>0</v>
      </c>
    </row>
    <row r="17" spans="1:26" ht="30">
      <c r="A17" s="27" t="s">
        <v>1215</v>
      </c>
      <c r="B17" s="27" t="s">
        <v>1216</v>
      </c>
      <c r="C17" s="27" t="s">
        <v>1217</v>
      </c>
      <c r="D17" s="27" t="s">
        <v>1218</v>
      </c>
      <c r="E17" s="27" t="s">
        <v>1160</v>
      </c>
      <c r="F17" s="28">
        <v>0.05</v>
      </c>
      <c r="G17" s="29">
        <v>10</v>
      </c>
      <c r="H17" s="27" t="s">
        <v>1219</v>
      </c>
      <c r="I17" s="27" t="s">
        <v>1220</v>
      </c>
      <c r="J17" s="27" t="s">
        <v>1221</v>
      </c>
      <c r="K17" s="27" t="s">
        <v>1222</v>
      </c>
      <c r="L17" s="27" t="s">
        <v>1223</v>
      </c>
      <c r="M17" s="29"/>
      <c r="N17" s="29"/>
      <c r="O17" s="29"/>
      <c r="P17" s="27" t="s">
        <v>101</v>
      </c>
      <c r="Q17" s="27">
        <v>5</v>
      </c>
      <c r="R17" s="14"/>
      <c r="S17" s="14"/>
      <c r="T17" s="30" t="str">
        <f t="shared" ref="T17:T18" si="16">IF(OR(S17="",R17="",R17=0),"",ROUND(Q17*MIN(S17/R17,1),2))</f>
        <v/>
      </c>
      <c r="U17" s="30" t="str">
        <f t="shared" ref="U17:U18" si="17">IF(T17="","",ROUND(T17/Q17*100,2))</f>
        <v/>
      </c>
      <c r="V17" s="8" t="str">
        <f t="shared" si="0"/>
        <v/>
      </c>
      <c r="W17" s="8" t="str">
        <f t="shared" ref="W17:W18" si="18">IF($V17="Y",1,"")</f>
        <v/>
      </c>
      <c r="X17" s="8" t="str">
        <f t="shared" ref="X17:X18" si="19">IF($V17="C",1,"")</f>
        <v/>
      </c>
      <c r="Y17" s="8" t="str">
        <f t="shared" ref="Y17:Y18" si="20">IF($V17="W",1,"")</f>
        <v/>
      </c>
      <c r="Z17" s="8" t="str">
        <f t="shared" ref="Z17:Z18" si="21">IF($V17="D",1,"")</f>
        <v/>
      </c>
    </row>
    <row r="18" spans="1:26" ht="30">
      <c r="A18" s="27" t="s">
        <v>1233</v>
      </c>
      <c r="B18" s="27" t="s">
        <v>1234</v>
      </c>
      <c r="C18" s="27" t="s">
        <v>1234</v>
      </c>
      <c r="D18" s="27" t="s">
        <v>1235</v>
      </c>
      <c r="E18" s="27" t="s">
        <v>1130</v>
      </c>
      <c r="F18" s="28">
        <v>0.5</v>
      </c>
      <c r="G18" s="29">
        <v>3</v>
      </c>
      <c r="H18" s="27" t="s">
        <v>1236</v>
      </c>
      <c r="I18" s="27" t="s">
        <v>1237</v>
      </c>
      <c r="J18" s="27" t="s">
        <v>1238</v>
      </c>
      <c r="K18" s="27" t="s">
        <v>1138</v>
      </c>
      <c r="L18" s="27" t="s">
        <v>1239</v>
      </c>
      <c r="M18" s="29"/>
      <c r="N18" s="29"/>
      <c r="O18" s="29"/>
      <c r="P18" s="27" t="s">
        <v>101</v>
      </c>
      <c r="Q18" s="27">
        <v>5</v>
      </c>
      <c r="R18" s="14"/>
      <c r="S18" s="14"/>
      <c r="T18" s="30" t="str">
        <f t="shared" si="16"/>
        <v/>
      </c>
      <c r="U18" s="30" t="str">
        <f t="shared" si="17"/>
        <v/>
      </c>
      <c r="V18" s="8" t="str">
        <f t="shared" si="0"/>
        <v/>
      </c>
      <c r="W18" s="8" t="str">
        <f t="shared" si="18"/>
        <v/>
      </c>
      <c r="X18" s="8" t="str">
        <f t="shared" si="19"/>
        <v/>
      </c>
      <c r="Y18" s="8" t="str">
        <f t="shared" si="20"/>
        <v/>
      </c>
      <c r="Z18" s="8" t="str">
        <f t="shared" si="21"/>
        <v/>
      </c>
    </row>
    <row r="19" spans="1:26">
      <c r="A19" s="20">
        <v>7.4</v>
      </c>
      <c r="B19" s="20" t="s">
        <v>1246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>SUM(Q20)</f>
        <v>10</v>
      </c>
      <c r="R19" s="20"/>
      <c r="S19" s="20"/>
      <c r="T19" s="24">
        <f>SUM(T20)</f>
        <v>0</v>
      </c>
      <c r="U19" s="24" t="str">
        <f>IF(COUNT(T20)=0,"",ROUND(T19/Q19*100,2))</f>
        <v/>
      </c>
      <c r="V19" s="20" t="str">
        <f t="shared" si="0"/>
        <v/>
      </c>
      <c r="W19" s="20">
        <f t="shared" ref="W19:Z19" si="22">SUM(W20)</f>
        <v>0</v>
      </c>
      <c r="X19" s="20">
        <f t="shared" si="22"/>
        <v>0</v>
      </c>
      <c r="Y19" s="20">
        <f t="shared" si="22"/>
        <v>0</v>
      </c>
      <c r="Z19" s="20">
        <f t="shared" si="22"/>
        <v>0</v>
      </c>
    </row>
    <row r="20" spans="1:26" ht="45">
      <c r="A20" s="27" t="s">
        <v>1257</v>
      </c>
      <c r="B20" s="27" t="s">
        <v>1258</v>
      </c>
      <c r="C20" s="27" t="s">
        <v>1258</v>
      </c>
      <c r="D20" s="27" t="s">
        <v>1259</v>
      </c>
      <c r="E20" s="27" t="s">
        <v>1130</v>
      </c>
      <c r="F20" s="28">
        <v>0.5</v>
      </c>
      <c r="G20" s="29">
        <v>3</v>
      </c>
      <c r="H20" s="27" t="s">
        <v>1260</v>
      </c>
      <c r="I20" s="27" t="s">
        <v>1261</v>
      </c>
      <c r="J20" s="27" t="s">
        <v>1238</v>
      </c>
      <c r="K20" s="27" t="s">
        <v>1138</v>
      </c>
      <c r="L20" s="27" t="s">
        <v>1262</v>
      </c>
      <c r="M20" s="29"/>
      <c r="N20" s="29"/>
      <c r="O20" s="29"/>
      <c r="P20" s="27" t="s">
        <v>101</v>
      </c>
      <c r="Q20" s="27">
        <v>10</v>
      </c>
      <c r="R20" s="14"/>
      <c r="S20" s="14"/>
      <c r="T20" s="30" t="str">
        <f>IF(OR(S20="",R20="",R20=0),"",ROUND(Q20*MIN(S20/R20,1),2))</f>
        <v/>
      </c>
      <c r="U20" s="30" t="str">
        <f>IF(T20="","",ROUND(T20/Q20*100,2))</f>
        <v/>
      </c>
      <c r="V20" s="8" t="str">
        <f t="shared" si="0"/>
        <v/>
      </c>
      <c r="W20" s="8" t="str">
        <f>IF($V20="Y",1,"")</f>
        <v/>
      </c>
      <c r="X20" s="8" t="str">
        <f>IF($V20="C",1,"")</f>
        <v/>
      </c>
      <c r="Y20" s="8" t="str">
        <f>IF($V20="W",1,"")</f>
        <v/>
      </c>
      <c r="Z20" s="8" t="str">
        <f>IF($V20="D",1,"")</f>
        <v/>
      </c>
    </row>
    <row r="21" spans="1:26" ht="15.75" customHeight="1">
      <c r="A21" s="20">
        <v>7.5</v>
      </c>
      <c r="B21" s="20" t="s">
        <v>1269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>
        <f>SUM(Q22:Q24)</f>
        <v>20</v>
      </c>
      <c r="R21" s="20"/>
      <c r="S21" s="20"/>
      <c r="T21" s="24">
        <f>SUM(T22:T24)</f>
        <v>0</v>
      </c>
      <c r="U21" s="24" t="str">
        <f>IF(COUNT(T22:T24)=0,"",ROUND(T21/Q21*100,2))</f>
        <v/>
      </c>
      <c r="V21" s="20" t="str">
        <f t="shared" si="0"/>
        <v/>
      </c>
      <c r="W21" s="20">
        <f t="shared" ref="W21:Z21" si="23">SUM(W22:W24)</f>
        <v>0</v>
      </c>
      <c r="X21" s="20">
        <f t="shared" si="23"/>
        <v>0</v>
      </c>
      <c r="Y21" s="20">
        <f t="shared" si="23"/>
        <v>0</v>
      </c>
      <c r="Z21" s="20">
        <f t="shared" si="23"/>
        <v>0</v>
      </c>
    </row>
    <row r="22" spans="1:26" ht="15.75" customHeight="1">
      <c r="A22" s="27" t="s">
        <v>1280</v>
      </c>
      <c r="B22" s="27" t="s">
        <v>1281</v>
      </c>
      <c r="C22" s="27" t="s">
        <v>1281</v>
      </c>
      <c r="D22" s="27" t="s">
        <v>1282</v>
      </c>
      <c r="E22" s="27" t="s">
        <v>1283</v>
      </c>
      <c r="F22" s="28">
        <v>1</v>
      </c>
      <c r="G22" s="29">
        <v>2</v>
      </c>
      <c r="H22" s="27" t="s">
        <v>1285</v>
      </c>
      <c r="I22" s="27" t="s">
        <v>746</v>
      </c>
      <c r="J22" s="27" t="s">
        <v>760</v>
      </c>
      <c r="K22" s="27" t="s">
        <v>761</v>
      </c>
      <c r="L22" s="27" t="s">
        <v>484</v>
      </c>
      <c r="M22" s="29"/>
      <c r="N22" s="29"/>
      <c r="O22" s="29"/>
      <c r="P22" s="27" t="s">
        <v>263</v>
      </c>
      <c r="Q22" s="27">
        <v>8</v>
      </c>
      <c r="R22" s="14"/>
      <c r="S22" s="14"/>
      <c r="T22" s="30" t="str">
        <f t="shared" ref="T22:T24" si="24">IF(OR(S22="",R22="",R22=0),"",ROUND(Q22*MIN(S22/R22,1),2))</f>
        <v/>
      </c>
      <c r="U22" s="30" t="str">
        <f t="shared" ref="U22:U24" si="25">IF(T22="","",ROUND(T22/Q22*100,2))</f>
        <v/>
      </c>
      <c r="V22" s="8" t="str">
        <f t="shared" si="0"/>
        <v/>
      </c>
      <c r="W22" s="8" t="str">
        <f t="shared" ref="W22:W24" si="26">IF($V22="Y",1,"")</f>
        <v/>
      </c>
      <c r="X22" s="8" t="str">
        <f t="shared" ref="X22:X24" si="27">IF($V22="C",1,"")</f>
        <v/>
      </c>
      <c r="Y22" s="8" t="str">
        <f t="shared" ref="Y22:Y24" si="28">IF($V22="W",1,"")</f>
        <v/>
      </c>
      <c r="Z22" s="8" t="str">
        <f t="shared" ref="Z22:Z24" si="29">IF($V22="D",1,"")</f>
        <v/>
      </c>
    </row>
    <row r="23" spans="1:26" ht="15.75" customHeight="1">
      <c r="A23" s="27" t="s">
        <v>1293</v>
      </c>
      <c r="B23" s="27" t="s">
        <v>1294</v>
      </c>
      <c r="C23" s="27" t="s">
        <v>1294</v>
      </c>
      <c r="D23" s="27" t="s">
        <v>1198</v>
      </c>
      <c r="E23" s="27" t="s">
        <v>1199</v>
      </c>
      <c r="F23" s="28">
        <v>0.1</v>
      </c>
      <c r="G23" s="29">
        <v>10</v>
      </c>
      <c r="H23" s="27" t="s">
        <v>1295</v>
      </c>
      <c r="I23" s="27" t="s">
        <v>1201</v>
      </c>
      <c r="J23" s="27" t="s">
        <v>1202</v>
      </c>
      <c r="K23" s="27" t="s">
        <v>1203</v>
      </c>
      <c r="L23" s="27" t="s">
        <v>1204</v>
      </c>
      <c r="M23" s="29"/>
      <c r="N23" s="29"/>
      <c r="O23" s="29"/>
      <c r="P23" s="27" t="s">
        <v>101</v>
      </c>
      <c r="Q23" s="27">
        <v>6</v>
      </c>
      <c r="R23" s="14"/>
      <c r="S23" s="14"/>
      <c r="T23" s="30" t="str">
        <f t="shared" si="24"/>
        <v/>
      </c>
      <c r="U23" s="30" t="str">
        <f t="shared" si="25"/>
        <v/>
      </c>
      <c r="V23" s="8" t="str">
        <f t="shared" si="0"/>
        <v/>
      </c>
      <c r="W23" s="8" t="str">
        <f t="shared" si="26"/>
        <v/>
      </c>
      <c r="X23" s="8" t="str">
        <f t="shared" si="27"/>
        <v/>
      </c>
      <c r="Y23" s="8" t="str">
        <f t="shared" si="28"/>
        <v/>
      </c>
      <c r="Z23" s="8" t="str">
        <f t="shared" si="29"/>
        <v/>
      </c>
    </row>
    <row r="24" spans="1:26" ht="15.75" customHeight="1">
      <c r="A24" s="27" t="s">
        <v>1296</v>
      </c>
      <c r="B24" s="27" t="s">
        <v>1301</v>
      </c>
      <c r="C24" s="27" t="s">
        <v>1301</v>
      </c>
      <c r="D24" s="27" t="s">
        <v>1303</v>
      </c>
      <c r="E24" s="27" t="s">
        <v>1304</v>
      </c>
      <c r="F24" s="28">
        <v>1</v>
      </c>
      <c r="G24" s="29">
        <v>5</v>
      </c>
      <c r="H24" s="27" t="s">
        <v>1029</v>
      </c>
      <c r="I24" s="27" t="s">
        <v>759</v>
      </c>
      <c r="J24" s="27" t="s">
        <v>760</v>
      </c>
      <c r="K24" s="27" t="s">
        <v>761</v>
      </c>
      <c r="L24" s="27" t="s">
        <v>515</v>
      </c>
      <c r="M24" s="29"/>
      <c r="N24" s="29"/>
      <c r="O24" s="29"/>
      <c r="P24" s="27" t="s">
        <v>263</v>
      </c>
      <c r="Q24" s="27">
        <v>6</v>
      </c>
      <c r="R24" s="14"/>
      <c r="S24" s="14"/>
      <c r="T24" s="30" t="str">
        <f t="shared" si="24"/>
        <v/>
      </c>
      <c r="U24" s="30" t="str">
        <f t="shared" si="25"/>
        <v/>
      </c>
      <c r="V24" s="8" t="str">
        <f t="shared" si="0"/>
        <v/>
      </c>
      <c r="W24" s="8" t="str">
        <f t="shared" si="26"/>
        <v/>
      </c>
      <c r="X24" s="8" t="str">
        <f t="shared" si="27"/>
        <v/>
      </c>
      <c r="Y24" s="8" t="str">
        <f t="shared" si="28"/>
        <v/>
      </c>
      <c r="Z24" s="8" t="str">
        <f t="shared" si="29"/>
        <v/>
      </c>
    </row>
    <row r="25" spans="1:26" ht="15.75" customHeight="1">
      <c r="A25" s="5" t="s">
        <v>70</v>
      </c>
      <c r="B25" s="5" t="s">
        <v>1307</v>
      </c>
      <c r="P25" s="26"/>
      <c r="Q25" s="26">
        <f>Q8+Q13+Q16+Q19+Q21</f>
        <v>100</v>
      </c>
      <c r="R25" s="26"/>
      <c r="S25" s="26"/>
      <c r="T25" s="32">
        <f>T8+T13+T16+T19+T21</f>
        <v>0</v>
      </c>
      <c r="U25" s="32" t="str">
        <f>IF(T25=0,"",ROUND(T25/Q25*100,2))</f>
        <v/>
      </c>
      <c r="V25" s="26" t="str">
        <f t="shared" si="0"/>
        <v/>
      </c>
      <c r="W25" s="26">
        <f t="shared" ref="W25:Z25" si="30">W8+W13+W16+W19+W21</f>
        <v>0</v>
      </c>
      <c r="X25" s="26">
        <f t="shared" si="30"/>
        <v>0</v>
      </c>
      <c r="Y25" s="26">
        <f t="shared" si="30"/>
        <v>0</v>
      </c>
      <c r="Z25" s="26">
        <f t="shared" si="30"/>
        <v>0</v>
      </c>
    </row>
    <row r="26" spans="1:26" ht="15.75" customHeight="1">
      <c r="A26" s="5"/>
      <c r="B26" s="5"/>
      <c r="C26" s="5"/>
      <c r="D26" s="5"/>
      <c r="E26" s="5"/>
      <c r="F26" s="3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4"/>
      <c r="U26" s="34"/>
      <c r="V26" s="5"/>
      <c r="W26" s="5"/>
      <c r="X26" s="5"/>
      <c r="Y26" s="5"/>
      <c r="Z26" s="5"/>
    </row>
    <row r="27" spans="1:26" ht="15.75" customHeight="1">
      <c r="A27" s="5"/>
      <c r="B27" s="5"/>
      <c r="C27" s="5"/>
      <c r="D27" s="5"/>
      <c r="E27" s="5"/>
      <c r="F27" s="3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34"/>
      <c r="U27" s="34"/>
      <c r="V27" s="5"/>
      <c r="W27" s="5"/>
      <c r="X27" s="5"/>
      <c r="Y27" s="5"/>
      <c r="Z27" s="5"/>
    </row>
    <row r="28" spans="1:26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34"/>
      <c r="U28" s="34"/>
      <c r="V28" s="5"/>
      <c r="W28" s="5"/>
      <c r="X28" s="5"/>
      <c r="Y28" s="5"/>
      <c r="Z28" s="5"/>
    </row>
    <row r="29" spans="1:26" ht="15.75" customHeight="1">
      <c r="A29" s="5"/>
      <c r="B29" s="5"/>
      <c r="C29" s="5"/>
      <c r="D29" s="5"/>
      <c r="E29" s="5"/>
      <c r="F29" s="3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34"/>
      <c r="U29" s="34"/>
      <c r="V29" s="5"/>
      <c r="W29" s="5"/>
      <c r="X29" s="5"/>
      <c r="Y29" s="5"/>
      <c r="Z29" s="5"/>
    </row>
    <row r="30" spans="1:26" ht="15.75" customHeight="1">
      <c r="A30" s="5"/>
      <c r="B30" s="5"/>
      <c r="C30" s="5"/>
      <c r="D30" s="5"/>
      <c r="E30" s="5"/>
      <c r="F30" s="3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34"/>
      <c r="U30" s="34"/>
      <c r="V30" s="5"/>
      <c r="W30" s="5"/>
      <c r="X30" s="5"/>
      <c r="Y30" s="5"/>
      <c r="Z30" s="5"/>
    </row>
  </sheetData>
  <mergeCells count="4">
    <mergeCell ref="A2:L2"/>
    <mergeCell ref="A3:L3"/>
    <mergeCell ref="A4:L4"/>
    <mergeCell ref="A5:L5"/>
  </mergeCells>
  <conditionalFormatting sqref="V8:V25">
    <cfRule type="cellIs" dxfId="21" priority="1" stopIfTrue="1" operator="equal">
      <formula>0</formula>
    </cfRule>
    <cfRule type="cellIs" dxfId="20" priority="2" stopIfTrue="1" operator="equal">
      <formula>0</formula>
    </cfRule>
    <cfRule type="cellIs" dxfId="19" priority="3" stopIfTrue="1" operator="equal">
      <formula>0</formula>
    </cfRule>
    <cfRule type="cellIs" dxfId="18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1190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1193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8.1</v>
      </c>
      <c r="B8" s="20" t="s">
        <v>1194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SUM(Q9:Q12)</f>
        <v>40</v>
      </c>
      <c r="R8" s="20"/>
      <c r="S8" s="20"/>
      <c r="T8" s="24">
        <f>SUM(T9:T12)</f>
        <v>0</v>
      </c>
      <c r="U8" s="24" t="str">
        <f>IF(COUNT(T9:T12)=0,"",ROUND(T8/Q8*100,2))</f>
        <v/>
      </c>
      <c r="V8" s="20" t="str">
        <f t="shared" ref="V8:V22" si="0">IF(U8="","",IF(U8&gt;YT*100,"Y",IF(U8&gt;=CT*100,"C",IF(U8&gt;=WT*100,"W","D"))))</f>
        <v/>
      </c>
      <c r="W8" s="20">
        <f t="shared" ref="W8:Z8" si="1">SUM(W9:W12)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30">
      <c r="A9" s="27" t="s">
        <v>1206</v>
      </c>
      <c r="B9" s="27" t="s">
        <v>1207</v>
      </c>
      <c r="C9" s="27" t="s">
        <v>1208</v>
      </c>
      <c r="D9" s="27" t="s">
        <v>1209</v>
      </c>
      <c r="E9" s="27" t="s">
        <v>1210</v>
      </c>
      <c r="F9" s="28">
        <v>0.5</v>
      </c>
      <c r="G9" s="29">
        <v>3</v>
      </c>
      <c r="H9" s="27" t="s">
        <v>1211</v>
      </c>
      <c r="I9" s="27" t="s">
        <v>1212</v>
      </c>
      <c r="J9" s="27" t="s">
        <v>1213</v>
      </c>
      <c r="K9" s="27" t="s">
        <v>1214</v>
      </c>
      <c r="L9" s="27" t="s">
        <v>484</v>
      </c>
      <c r="M9" s="29"/>
      <c r="N9" s="29"/>
      <c r="O9" s="29"/>
      <c r="P9" s="27" t="s">
        <v>101</v>
      </c>
      <c r="Q9" s="27">
        <v>10</v>
      </c>
      <c r="R9" s="14"/>
      <c r="S9" s="14"/>
      <c r="T9" s="30" t="str">
        <f t="shared" ref="T9:T12" si="2">IF(OR(S9="",R9="",R9=0),"",ROUND(Q9*MIN(S9/R9,1),2))</f>
        <v/>
      </c>
      <c r="U9" s="30" t="str">
        <f t="shared" ref="U9:U12" si="3">IF(T9="","",ROUND(T9/Q9*100,2))</f>
        <v/>
      </c>
      <c r="V9" s="8" t="str">
        <f t="shared" si="0"/>
        <v/>
      </c>
      <c r="W9" s="8" t="str">
        <f t="shared" ref="W9:W12" si="4">IF($V9="Y",1,"")</f>
        <v/>
      </c>
      <c r="X9" s="8" t="str">
        <f t="shared" ref="X9:X12" si="5">IF($V9="C",1,"")</f>
        <v/>
      </c>
      <c r="Y9" s="8" t="str">
        <f t="shared" ref="Y9:Y12" si="6">IF($V9="W",1,"")</f>
        <v/>
      </c>
      <c r="Z9" s="8" t="str">
        <f t="shared" ref="Z9:Z12" si="7">IF($V9="D",1,"")</f>
        <v/>
      </c>
    </row>
    <row r="10" spans="1:26" ht="30">
      <c r="A10" s="27" t="s">
        <v>1225</v>
      </c>
      <c r="B10" s="27" t="s">
        <v>1226</v>
      </c>
      <c r="C10" s="27" t="s">
        <v>1227</v>
      </c>
      <c r="D10" s="27" t="s">
        <v>1228</v>
      </c>
      <c r="E10" s="27" t="s">
        <v>1229</v>
      </c>
      <c r="F10" s="28">
        <v>0.25</v>
      </c>
      <c r="G10" s="29">
        <v>5</v>
      </c>
      <c r="H10" s="27" t="s">
        <v>1230</v>
      </c>
      <c r="I10" s="27" t="s">
        <v>1231</v>
      </c>
      <c r="J10" s="27" t="s">
        <v>1232</v>
      </c>
      <c r="K10" s="27" t="s">
        <v>315</v>
      </c>
      <c r="L10" s="27" t="s">
        <v>295</v>
      </c>
      <c r="M10" s="29"/>
      <c r="N10" s="29"/>
      <c r="O10" s="29"/>
      <c r="P10" s="27" t="s">
        <v>101</v>
      </c>
      <c r="Q10" s="27">
        <v>10</v>
      </c>
      <c r="R10" s="14"/>
      <c r="S10" s="14"/>
      <c r="T10" s="30" t="str">
        <f t="shared" si="2"/>
        <v/>
      </c>
      <c r="U10" s="30" t="str">
        <f t="shared" si="3"/>
        <v/>
      </c>
      <c r="V10" s="8" t="str">
        <f t="shared" si="0"/>
        <v/>
      </c>
      <c r="W10" s="8" t="str">
        <f t="shared" si="4"/>
        <v/>
      </c>
      <c r="X10" s="8" t="str">
        <f t="shared" si="5"/>
        <v/>
      </c>
      <c r="Y10" s="8" t="str">
        <f t="shared" si="6"/>
        <v/>
      </c>
      <c r="Z10" s="8" t="str">
        <f t="shared" si="7"/>
        <v/>
      </c>
    </row>
    <row r="11" spans="1:26" ht="30">
      <c r="A11" s="27" t="s">
        <v>1240</v>
      </c>
      <c r="B11" s="27" t="s">
        <v>1241</v>
      </c>
      <c r="C11" s="27" t="s">
        <v>1242</v>
      </c>
      <c r="D11" s="27" t="s">
        <v>1243</v>
      </c>
      <c r="E11" s="27" t="s">
        <v>1244</v>
      </c>
      <c r="F11" s="28">
        <v>1</v>
      </c>
      <c r="G11" s="29">
        <v>3</v>
      </c>
      <c r="H11" s="27" t="s">
        <v>1245</v>
      </c>
      <c r="I11" s="27" t="s">
        <v>1212</v>
      </c>
      <c r="J11" s="27" t="s">
        <v>333</v>
      </c>
      <c r="K11" s="27" t="s">
        <v>804</v>
      </c>
      <c r="L11" s="27" t="s">
        <v>484</v>
      </c>
      <c r="M11" s="29"/>
      <c r="N11" s="29"/>
      <c r="O11" s="29"/>
      <c r="P11" s="27" t="s">
        <v>101</v>
      </c>
      <c r="Q11" s="27">
        <v>10</v>
      </c>
      <c r="R11" s="14"/>
      <c r="S11" s="14"/>
      <c r="T11" s="30" t="str">
        <f t="shared" si="2"/>
        <v/>
      </c>
      <c r="U11" s="30" t="str">
        <f t="shared" si="3"/>
        <v/>
      </c>
      <c r="V11" s="8" t="str">
        <f t="shared" si="0"/>
        <v/>
      </c>
      <c r="W11" s="8" t="str">
        <f t="shared" si="4"/>
        <v/>
      </c>
      <c r="X11" s="8" t="str">
        <f t="shared" si="5"/>
        <v/>
      </c>
      <c r="Y11" s="8" t="str">
        <f t="shared" si="6"/>
        <v/>
      </c>
      <c r="Z11" s="8" t="str">
        <f t="shared" si="7"/>
        <v/>
      </c>
    </row>
    <row r="12" spans="1:26" ht="30">
      <c r="A12" s="27" t="s">
        <v>1248</v>
      </c>
      <c r="B12" s="27" t="s">
        <v>1249</v>
      </c>
      <c r="C12" s="27" t="s">
        <v>1250</v>
      </c>
      <c r="D12" s="27" t="s">
        <v>1251</v>
      </c>
      <c r="E12" s="27" t="s">
        <v>357</v>
      </c>
      <c r="F12" s="28">
        <v>1</v>
      </c>
      <c r="G12" s="29">
        <v>3</v>
      </c>
      <c r="H12" s="27" t="s">
        <v>1252</v>
      </c>
      <c r="I12" s="27" t="s">
        <v>1253</v>
      </c>
      <c r="J12" s="27" t="s">
        <v>1254</v>
      </c>
      <c r="K12" s="27" t="s">
        <v>315</v>
      </c>
      <c r="L12" s="27" t="s">
        <v>1255</v>
      </c>
      <c r="M12" s="29"/>
      <c r="N12" s="29"/>
      <c r="O12" s="29"/>
      <c r="P12" s="27" t="s">
        <v>101</v>
      </c>
      <c r="Q12" s="27">
        <v>10</v>
      </c>
      <c r="R12" s="14"/>
      <c r="S12" s="14"/>
      <c r="T12" s="30" t="str">
        <f t="shared" si="2"/>
        <v/>
      </c>
      <c r="U12" s="30" t="str">
        <f t="shared" si="3"/>
        <v/>
      </c>
      <c r="V12" s="8" t="str">
        <f t="shared" si="0"/>
        <v/>
      </c>
      <c r="W12" s="8" t="str">
        <f t="shared" si="4"/>
        <v/>
      </c>
      <c r="X12" s="8" t="str">
        <f t="shared" si="5"/>
        <v/>
      </c>
      <c r="Y12" s="8" t="str">
        <f t="shared" si="6"/>
        <v/>
      </c>
      <c r="Z12" s="8" t="str">
        <f t="shared" si="7"/>
        <v/>
      </c>
    </row>
    <row r="13" spans="1:26">
      <c r="A13" s="20">
        <v>8.1999999999999993</v>
      </c>
      <c r="B13" s="20" t="s">
        <v>1256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>SUM(Q14:Q15)</f>
        <v>15</v>
      </c>
      <c r="R13" s="20"/>
      <c r="S13" s="20"/>
      <c r="T13" s="24">
        <f>SUM(T14:T15)</f>
        <v>0</v>
      </c>
      <c r="U13" s="24" t="str">
        <f>IF(COUNT(T14:T15)=0,"",ROUND(T13/Q13*100,2))</f>
        <v/>
      </c>
      <c r="V13" s="20" t="str">
        <f t="shared" si="0"/>
        <v/>
      </c>
      <c r="W13" s="20">
        <f t="shared" ref="W13:Z13" si="8">SUM(W14:W15)</f>
        <v>0</v>
      </c>
      <c r="X13" s="20">
        <f t="shared" si="8"/>
        <v>0</v>
      </c>
      <c r="Y13" s="20">
        <f t="shared" si="8"/>
        <v>0</v>
      </c>
      <c r="Z13" s="20">
        <f t="shared" si="8"/>
        <v>0</v>
      </c>
    </row>
    <row r="14" spans="1:26" ht="30">
      <c r="A14" s="27" t="s">
        <v>1263</v>
      </c>
      <c r="B14" s="27" t="s">
        <v>1264</v>
      </c>
      <c r="C14" s="27" t="s">
        <v>1264</v>
      </c>
      <c r="D14" s="27" t="s">
        <v>1265</v>
      </c>
      <c r="E14" s="27" t="s">
        <v>1266</v>
      </c>
      <c r="F14" s="28">
        <v>0.25</v>
      </c>
      <c r="G14" s="29">
        <v>5</v>
      </c>
      <c r="H14" s="27" t="s">
        <v>1267</v>
      </c>
      <c r="I14" s="27" t="s">
        <v>1268</v>
      </c>
      <c r="J14" s="27" t="s">
        <v>219</v>
      </c>
      <c r="K14" s="27" t="s">
        <v>315</v>
      </c>
      <c r="L14" s="27" t="s">
        <v>221</v>
      </c>
      <c r="M14" s="29"/>
      <c r="N14" s="29"/>
      <c r="O14" s="29"/>
      <c r="P14" s="27" t="s">
        <v>101</v>
      </c>
      <c r="Q14" s="27">
        <v>10</v>
      </c>
      <c r="R14" s="14"/>
      <c r="S14" s="14"/>
      <c r="T14" s="30" t="str">
        <f t="shared" ref="T14:T15" si="9">IF(OR(S14="",R14="",R14=0),"",ROUND(Q14*MIN(S14/R14,1),2))</f>
        <v/>
      </c>
      <c r="U14" s="30" t="str">
        <f t="shared" ref="U14:U15" si="10">IF(T14="","",ROUND(T14/Q14*100,2))</f>
        <v/>
      </c>
      <c r="V14" s="8" t="str">
        <f t="shared" si="0"/>
        <v/>
      </c>
      <c r="W14" s="8" t="str">
        <f t="shared" ref="W14:W15" si="11">IF($V14="Y",1,"")</f>
        <v/>
      </c>
      <c r="X14" s="8" t="str">
        <f t="shared" ref="X14:X15" si="12">IF($V14="C",1,"")</f>
        <v/>
      </c>
      <c r="Y14" s="8" t="str">
        <f t="shared" ref="Y14:Y15" si="13">IF($V14="W",1,"")</f>
        <v/>
      </c>
      <c r="Z14" s="8" t="str">
        <f t="shared" ref="Z14:Z15" si="14">IF($V14="D",1,"")</f>
        <v/>
      </c>
    </row>
    <row r="15" spans="1:26" ht="30">
      <c r="A15" s="27" t="s">
        <v>1270</v>
      </c>
      <c r="B15" s="27" t="s">
        <v>1271</v>
      </c>
      <c r="C15" s="27" t="s">
        <v>1271</v>
      </c>
      <c r="D15" s="27" t="s">
        <v>1272</v>
      </c>
      <c r="E15" s="27" t="s">
        <v>1273</v>
      </c>
      <c r="F15" s="28">
        <v>1</v>
      </c>
      <c r="G15" s="29">
        <v>2</v>
      </c>
      <c r="H15" s="27" t="s">
        <v>1274</v>
      </c>
      <c r="I15" s="27" t="s">
        <v>1276</v>
      </c>
      <c r="J15" s="27" t="s">
        <v>1277</v>
      </c>
      <c r="K15" s="27" t="s">
        <v>1278</v>
      </c>
      <c r="L15" s="27" t="s">
        <v>1279</v>
      </c>
      <c r="M15" s="29"/>
      <c r="N15" s="29"/>
      <c r="O15" s="29"/>
      <c r="P15" s="27" t="s">
        <v>101</v>
      </c>
      <c r="Q15" s="27">
        <v>5</v>
      </c>
      <c r="R15" s="14"/>
      <c r="S15" s="14"/>
      <c r="T15" s="30" t="str">
        <f t="shared" si="9"/>
        <v/>
      </c>
      <c r="U15" s="30" t="str">
        <f t="shared" si="10"/>
        <v/>
      </c>
      <c r="V15" s="8" t="str">
        <f t="shared" si="0"/>
        <v/>
      </c>
      <c r="W15" s="8" t="str">
        <f t="shared" si="11"/>
        <v/>
      </c>
      <c r="X15" s="8" t="str">
        <f t="shared" si="12"/>
        <v/>
      </c>
      <c r="Y15" s="8" t="str">
        <f t="shared" si="13"/>
        <v/>
      </c>
      <c r="Z15" s="8" t="str">
        <f t="shared" si="14"/>
        <v/>
      </c>
    </row>
    <row r="16" spans="1:26">
      <c r="A16" s="20">
        <v>8.3000000000000007</v>
      </c>
      <c r="B16" s="20" t="s">
        <v>1284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>SUM(Q17:Q18)</f>
        <v>15</v>
      </c>
      <c r="R16" s="20"/>
      <c r="S16" s="20"/>
      <c r="T16" s="24">
        <f>SUM(T17:T18)</f>
        <v>0</v>
      </c>
      <c r="U16" s="24" t="str">
        <f>IF(COUNT(T17:T18)=0,"",ROUND(T16/Q16*100,2))</f>
        <v/>
      </c>
      <c r="V16" s="20" t="str">
        <f t="shared" si="0"/>
        <v/>
      </c>
      <c r="W16" s="20">
        <f t="shared" ref="W16:Z16" si="15">SUM(W17:W18)</f>
        <v>0</v>
      </c>
      <c r="X16" s="20">
        <f t="shared" si="15"/>
        <v>0</v>
      </c>
      <c r="Y16" s="20">
        <f t="shared" si="15"/>
        <v>0</v>
      </c>
      <c r="Z16" s="20">
        <f t="shared" si="15"/>
        <v>0</v>
      </c>
    </row>
    <row r="17" spans="1:26" ht="30">
      <c r="A17" s="27" t="s">
        <v>1286</v>
      </c>
      <c r="B17" s="27" t="s">
        <v>887</v>
      </c>
      <c r="C17" s="27" t="s">
        <v>1287</v>
      </c>
      <c r="D17" s="27" t="s">
        <v>1288</v>
      </c>
      <c r="E17" s="27" t="s">
        <v>880</v>
      </c>
      <c r="F17" s="28">
        <v>0.25</v>
      </c>
      <c r="G17" s="29">
        <v>5</v>
      </c>
      <c r="H17" s="27" t="s">
        <v>1289</v>
      </c>
      <c r="I17" s="27" t="s">
        <v>1290</v>
      </c>
      <c r="J17" s="27" t="s">
        <v>956</v>
      </c>
      <c r="K17" s="27" t="s">
        <v>957</v>
      </c>
      <c r="L17" s="27" t="s">
        <v>1291</v>
      </c>
      <c r="M17" s="29"/>
      <c r="N17" s="29"/>
      <c r="O17" s="29"/>
      <c r="P17" s="27" t="s">
        <v>263</v>
      </c>
      <c r="Q17" s="27">
        <v>8</v>
      </c>
      <c r="R17" s="14"/>
      <c r="S17" s="14"/>
      <c r="T17" s="30" t="str">
        <f t="shared" ref="T17:T18" si="16">IF(OR(S17="",R17="",R17=0),"",ROUND(Q17*MIN(S17/R17,1),2))</f>
        <v/>
      </c>
      <c r="U17" s="30" t="str">
        <f t="shared" ref="U17:U18" si="17">IF(T17="","",ROUND(T17/Q17*100,2))</f>
        <v/>
      </c>
      <c r="V17" s="8" t="str">
        <f t="shared" si="0"/>
        <v/>
      </c>
      <c r="W17" s="8" t="str">
        <f t="shared" ref="W17:W18" si="18">IF($V17="Y",1,"")</f>
        <v/>
      </c>
      <c r="X17" s="8" t="str">
        <f t="shared" ref="X17:X18" si="19">IF($V17="C",1,"")</f>
        <v/>
      </c>
      <c r="Y17" s="8" t="str">
        <f t="shared" ref="Y17:Y18" si="20">IF($V17="W",1,"")</f>
        <v/>
      </c>
      <c r="Z17" s="8" t="str">
        <f t="shared" ref="Z17:Z18" si="21">IF($V17="D",1,"")</f>
        <v/>
      </c>
    </row>
    <row r="18" spans="1:26" ht="30">
      <c r="A18" s="27" t="s">
        <v>1297</v>
      </c>
      <c r="B18" s="27" t="s">
        <v>1298</v>
      </c>
      <c r="C18" s="27" t="s">
        <v>1299</v>
      </c>
      <c r="D18" s="27" t="s">
        <v>1300</v>
      </c>
      <c r="E18" s="27" t="s">
        <v>1302</v>
      </c>
      <c r="F18" s="28">
        <v>0.25</v>
      </c>
      <c r="G18" s="29">
        <v>5</v>
      </c>
      <c r="H18" s="27" t="s">
        <v>1305</v>
      </c>
      <c r="I18" s="27" t="s">
        <v>1290</v>
      </c>
      <c r="J18" s="27" t="s">
        <v>956</v>
      </c>
      <c r="K18" s="27" t="s">
        <v>957</v>
      </c>
      <c r="L18" s="27" t="s">
        <v>1291</v>
      </c>
      <c r="M18" s="29"/>
      <c r="N18" s="29"/>
      <c r="O18" s="29"/>
      <c r="P18" s="27" t="s">
        <v>263</v>
      </c>
      <c r="Q18" s="27">
        <v>7</v>
      </c>
      <c r="R18" s="14"/>
      <c r="S18" s="14"/>
      <c r="T18" s="30" t="str">
        <f t="shared" si="16"/>
        <v/>
      </c>
      <c r="U18" s="30" t="str">
        <f t="shared" si="17"/>
        <v/>
      </c>
      <c r="V18" s="8" t="str">
        <f t="shared" si="0"/>
        <v/>
      </c>
      <c r="W18" s="8" t="str">
        <f t="shared" si="18"/>
        <v/>
      </c>
      <c r="X18" s="8" t="str">
        <f t="shared" si="19"/>
        <v/>
      </c>
      <c r="Y18" s="8" t="str">
        <f t="shared" si="20"/>
        <v/>
      </c>
      <c r="Z18" s="8" t="str">
        <f t="shared" si="21"/>
        <v/>
      </c>
    </row>
    <row r="19" spans="1:26">
      <c r="A19" s="20">
        <v>8.4</v>
      </c>
      <c r="B19" s="20" t="s">
        <v>1306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>SUM(Q20:Q21)</f>
        <v>10</v>
      </c>
      <c r="R19" s="20"/>
      <c r="S19" s="20"/>
      <c r="T19" s="24">
        <f>SUM(T20:T21)</f>
        <v>0</v>
      </c>
      <c r="U19" s="24" t="str">
        <f>IF(COUNT(T20:T21)=0,"",ROUND(T19/Q19*100,2))</f>
        <v/>
      </c>
      <c r="V19" s="20" t="str">
        <f t="shared" si="0"/>
        <v/>
      </c>
      <c r="W19" s="20">
        <f t="shared" ref="W19:Z19" si="22">SUM(W20:W21)</f>
        <v>0</v>
      </c>
      <c r="X19" s="20">
        <f t="shared" si="22"/>
        <v>0</v>
      </c>
      <c r="Y19" s="20">
        <f t="shared" si="22"/>
        <v>0</v>
      </c>
      <c r="Z19" s="20">
        <f t="shared" si="22"/>
        <v>0</v>
      </c>
    </row>
    <row r="20" spans="1:26" ht="30">
      <c r="A20" s="27" t="s">
        <v>1308</v>
      </c>
      <c r="B20" s="27" t="s">
        <v>1309</v>
      </c>
      <c r="C20" s="27" t="s">
        <v>1310</v>
      </c>
      <c r="D20" s="27" t="s">
        <v>1311</v>
      </c>
      <c r="E20" s="27" t="s">
        <v>172</v>
      </c>
      <c r="F20" s="28">
        <v>0.1</v>
      </c>
      <c r="G20" s="29">
        <v>10</v>
      </c>
      <c r="H20" s="27" t="s">
        <v>1312</v>
      </c>
      <c r="I20" s="27" t="s">
        <v>1290</v>
      </c>
      <c r="J20" s="27" t="s">
        <v>956</v>
      </c>
      <c r="K20" s="27" t="s">
        <v>957</v>
      </c>
      <c r="L20" s="27" t="s">
        <v>1291</v>
      </c>
      <c r="M20" s="29"/>
      <c r="N20" s="29"/>
      <c r="O20" s="29"/>
      <c r="P20" s="27" t="s">
        <v>263</v>
      </c>
      <c r="Q20" s="27">
        <v>5</v>
      </c>
      <c r="R20" s="14"/>
      <c r="S20" s="14"/>
      <c r="T20" s="30" t="str">
        <f t="shared" ref="T20:T21" si="23">IF(OR(S20="",R20="",R20=0),"",ROUND(Q20*MIN(S20/R20,1),2))</f>
        <v/>
      </c>
      <c r="U20" s="30" t="str">
        <f t="shared" ref="U20:U21" si="24">IF(T20="","",ROUND(T20/Q20*100,2))</f>
        <v/>
      </c>
      <c r="V20" s="8" t="str">
        <f t="shared" si="0"/>
        <v/>
      </c>
      <c r="W20" s="8" t="str">
        <f t="shared" ref="W20:W21" si="25">IF($V20="Y",1,"")</f>
        <v/>
      </c>
      <c r="X20" s="8" t="str">
        <f t="shared" ref="X20:X21" si="26">IF($V20="C",1,"")</f>
        <v/>
      </c>
      <c r="Y20" s="8" t="str">
        <f t="shared" ref="Y20:Y21" si="27">IF($V20="W",1,"")</f>
        <v/>
      </c>
      <c r="Z20" s="8" t="str">
        <f t="shared" ref="Z20:Z21" si="28">IF($V20="D",1,"")</f>
        <v/>
      </c>
    </row>
    <row r="21" spans="1:26" ht="15.75" customHeight="1">
      <c r="A21" s="27" t="s">
        <v>1314</v>
      </c>
      <c r="B21" s="27" t="s">
        <v>1315</v>
      </c>
      <c r="C21" s="27" t="s">
        <v>1316</v>
      </c>
      <c r="D21" s="27" t="s">
        <v>1317</v>
      </c>
      <c r="E21" s="27" t="s">
        <v>172</v>
      </c>
      <c r="F21" s="28">
        <v>0.1</v>
      </c>
      <c r="G21" s="29">
        <v>10</v>
      </c>
      <c r="H21" s="27" t="s">
        <v>1318</v>
      </c>
      <c r="I21" s="27" t="s">
        <v>1290</v>
      </c>
      <c r="J21" s="27" t="s">
        <v>956</v>
      </c>
      <c r="K21" s="27" t="s">
        <v>957</v>
      </c>
      <c r="L21" s="27" t="s">
        <v>1291</v>
      </c>
      <c r="M21" s="29"/>
      <c r="N21" s="29"/>
      <c r="O21" s="29"/>
      <c r="P21" s="27" t="s">
        <v>263</v>
      </c>
      <c r="Q21" s="27">
        <v>5</v>
      </c>
      <c r="R21" s="14"/>
      <c r="S21" s="14"/>
      <c r="T21" s="30" t="str">
        <f t="shared" si="23"/>
        <v/>
      </c>
      <c r="U21" s="30" t="str">
        <f t="shared" si="24"/>
        <v/>
      </c>
      <c r="V21" s="8" t="str">
        <f t="shared" si="0"/>
        <v/>
      </c>
      <c r="W21" s="8" t="str">
        <f t="shared" si="25"/>
        <v/>
      </c>
      <c r="X21" s="8" t="str">
        <f t="shared" si="26"/>
        <v/>
      </c>
      <c r="Y21" s="8" t="str">
        <f t="shared" si="27"/>
        <v/>
      </c>
      <c r="Z21" s="8" t="str">
        <f t="shared" si="28"/>
        <v/>
      </c>
    </row>
    <row r="22" spans="1:26" ht="15.75" customHeight="1">
      <c r="A22" s="5" t="s">
        <v>71</v>
      </c>
      <c r="B22" s="5" t="s">
        <v>1319</v>
      </c>
      <c r="P22" s="26"/>
      <c r="Q22" s="26">
        <f>Q8+Q13+Q16+Q19</f>
        <v>80</v>
      </c>
      <c r="R22" s="26"/>
      <c r="S22" s="26"/>
      <c r="T22" s="32">
        <f>T8+T13+T16+T19</f>
        <v>0</v>
      </c>
      <c r="U22" s="32" t="str">
        <f>IF(T22=0,"",ROUND(T22/Q22*100,2))</f>
        <v/>
      </c>
      <c r="V22" s="26" t="str">
        <f t="shared" si="0"/>
        <v/>
      </c>
      <c r="W22" s="26">
        <f t="shared" ref="W22:Z22" si="29">W8+W13+W16+W19</f>
        <v>0</v>
      </c>
      <c r="X22" s="26">
        <f t="shared" si="29"/>
        <v>0</v>
      </c>
      <c r="Y22" s="26">
        <f t="shared" si="29"/>
        <v>0</v>
      </c>
      <c r="Z22" s="26">
        <f t="shared" si="29"/>
        <v>0</v>
      </c>
    </row>
    <row r="23" spans="1:26" ht="15.75" customHeight="1">
      <c r="A23" s="5"/>
      <c r="B23" s="5"/>
      <c r="C23" s="5"/>
      <c r="D23" s="5"/>
      <c r="E23" s="5"/>
      <c r="F23" s="3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34"/>
      <c r="U23" s="34"/>
      <c r="V23" s="5"/>
      <c r="W23" s="5"/>
      <c r="X23" s="5"/>
      <c r="Y23" s="5"/>
      <c r="Z23" s="5"/>
    </row>
    <row r="24" spans="1:26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34"/>
      <c r="U24" s="34"/>
      <c r="V24" s="5"/>
      <c r="W24" s="5"/>
      <c r="X24" s="5"/>
      <c r="Y24" s="5"/>
      <c r="Z24" s="5"/>
    </row>
    <row r="25" spans="1:26" ht="15.75" customHeight="1">
      <c r="A25" s="5"/>
      <c r="B25" s="5"/>
      <c r="C25" s="5"/>
      <c r="D25" s="5"/>
      <c r="E25" s="5"/>
      <c r="F25" s="3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34"/>
      <c r="U25" s="34"/>
      <c r="V25" s="5"/>
      <c r="W25" s="5"/>
      <c r="X25" s="5"/>
      <c r="Y25" s="5"/>
      <c r="Z25" s="5"/>
    </row>
    <row r="26" spans="1:26" ht="15.75" customHeight="1">
      <c r="A26" s="5"/>
      <c r="B26" s="5"/>
      <c r="C26" s="5"/>
      <c r="D26" s="5"/>
      <c r="E26" s="5"/>
      <c r="F26" s="3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4"/>
      <c r="U26" s="34"/>
      <c r="V26" s="5"/>
      <c r="W26" s="5"/>
      <c r="X26" s="5"/>
      <c r="Y26" s="5"/>
      <c r="Z26" s="5"/>
    </row>
    <row r="27" spans="1:26" ht="15.75" customHeight="1">
      <c r="A27" s="5"/>
      <c r="B27" s="5"/>
      <c r="C27" s="5"/>
      <c r="D27" s="5"/>
      <c r="E27" s="5"/>
      <c r="F27" s="3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34"/>
      <c r="U27" s="34"/>
      <c r="V27" s="5"/>
      <c r="W27" s="5"/>
      <c r="X27" s="5"/>
      <c r="Y27" s="5"/>
      <c r="Z27" s="5"/>
    </row>
  </sheetData>
  <mergeCells count="4">
    <mergeCell ref="A2:L2"/>
    <mergeCell ref="A3:L3"/>
    <mergeCell ref="A4:L4"/>
    <mergeCell ref="A5:L5"/>
  </mergeCells>
  <conditionalFormatting sqref="V8:V22">
    <cfRule type="cellIs" dxfId="17" priority="1" stopIfTrue="1" operator="equal">
      <formula>0</formula>
    </cfRule>
    <cfRule type="cellIs" dxfId="16" priority="2" stopIfTrue="1" operator="equal">
      <formula>0</formula>
    </cfRule>
    <cfRule type="cellIs" dxfId="15" priority="3" stopIfTrue="1" operator="equal">
      <formula>0</formula>
    </cfRule>
    <cfRule type="cellIs" dxfId="14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2578125" defaultRowHeight="15" customHeight="1"/>
  <cols>
    <col min="1" max="1" width="7" customWidth="1"/>
    <col min="2" max="2" width="26" customWidth="1"/>
    <col min="3" max="3" width="28" customWidth="1"/>
    <col min="4" max="4" width="38" customWidth="1"/>
    <col min="5" max="5" width="13" customWidth="1"/>
    <col min="6" max="7" width="8" customWidth="1"/>
    <col min="8" max="8" width="32" customWidth="1"/>
    <col min="9" max="9" width="28" customWidth="1"/>
    <col min="10" max="12" width="26" customWidth="1"/>
    <col min="13" max="14" width="9" customWidth="1"/>
    <col min="15" max="15" width="26" customWidth="1"/>
    <col min="16" max="16" width="6" customWidth="1"/>
    <col min="17" max="17" width="8" customWidth="1"/>
    <col min="18" max="19" width="11" customWidth="1"/>
    <col min="20" max="20" width="9" customWidth="1"/>
    <col min="21" max="21" width="11" customWidth="1"/>
    <col min="22" max="22" width="7" customWidth="1"/>
    <col min="23" max="26" width="5" customWidth="1"/>
  </cols>
  <sheetData>
    <row r="1" spans="1:26" ht="18.75">
      <c r="A1" s="4" t="s">
        <v>1321</v>
      </c>
    </row>
    <row r="2" spans="1:26">
      <c r="A2" s="43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26">
      <c r="A3" s="43" t="s">
        <v>83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6">
      <c r="A4" s="43" t="s">
        <v>1322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26">
      <c r="A5" s="43" t="s">
        <v>85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spans="1:26" ht="36" customHeight="1">
      <c r="A7" s="6" t="s">
        <v>18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90</v>
      </c>
      <c r="G7" s="6" t="s">
        <v>91</v>
      </c>
      <c r="H7" s="6" t="s">
        <v>92</v>
      </c>
      <c r="I7" s="9" t="s">
        <v>93</v>
      </c>
      <c r="J7" s="10" t="s">
        <v>94</v>
      </c>
      <c r="K7" s="11" t="s">
        <v>95</v>
      </c>
      <c r="L7" s="12" t="s">
        <v>96</v>
      </c>
      <c r="M7" s="6" t="s">
        <v>50</v>
      </c>
      <c r="N7" s="6" t="s">
        <v>51</v>
      </c>
      <c r="O7" s="6" t="s">
        <v>53</v>
      </c>
      <c r="P7" s="6" t="s">
        <v>29</v>
      </c>
      <c r="Q7" s="6" t="s">
        <v>31</v>
      </c>
      <c r="R7" s="6" t="s">
        <v>32</v>
      </c>
      <c r="S7" s="6" t="s">
        <v>33</v>
      </c>
      <c r="T7" s="6" t="s">
        <v>35</v>
      </c>
      <c r="U7" s="6" t="s">
        <v>36</v>
      </c>
      <c r="V7" s="6" t="s">
        <v>30</v>
      </c>
      <c r="W7" s="9" t="s">
        <v>38</v>
      </c>
      <c r="X7" s="10" t="s">
        <v>41</v>
      </c>
      <c r="Y7" s="11" t="s">
        <v>44</v>
      </c>
      <c r="Z7" s="12" t="s">
        <v>47</v>
      </c>
    </row>
    <row r="8" spans="1:26">
      <c r="A8" s="20">
        <v>9.1</v>
      </c>
      <c r="B8" s="20" t="s">
        <v>1323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SUM(Q9)</f>
        <v>5</v>
      </c>
      <c r="R8" s="20"/>
      <c r="S8" s="20"/>
      <c r="T8" s="24">
        <f>SUM(T9)</f>
        <v>0</v>
      </c>
      <c r="U8" s="24" t="str">
        <f>IF(COUNT(T9)=0,"",ROUND(T8/Q8*100,2))</f>
        <v/>
      </c>
      <c r="V8" s="20" t="str">
        <f t="shared" ref="V8:V42" si="0">IF(U8="","",IF(U8&gt;YT*100,"Y",IF(U8&gt;=CT*100,"C",IF(U8&gt;=WT*100,"W","D"))))</f>
        <v/>
      </c>
      <c r="W8" s="20">
        <f t="shared" ref="W8:Z8" si="1">SUM(W9)</f>
        <v>0</v>
      </c>
      <c r="X8" s="20">
        <f t="shared" si="1"/>
        <v>0</v>
      </c>
      <c r="Y8" s="20">
        <f t="shared" si="1"/>
        <v>0</v>
      </c>
      <c r="Z8" s="20">
        <f t="shared" si="1"/>
        <v>0</v>
      </c>
    </row>
    <row r="9" spans="1:26" ht="30">
      <c r="A9" s="27" t="s">
        <v>1326</v>
      </c>
      <c r="B9" s="27" t="s">
        <v>1327</v>
      </c>
      <c r="C9" s="27" t="s">
        <v>1327</v>
      </c>
      <c r="D9" s="27" t="s">
        <v>1328</v>
      </c>
      <c r="E9" s="27" t="s">
        <v>880</v>
      </c>
      <c r="F9" s="28">
        <v>0.25</v>
      </c>
      <c r="G9" s="29">
        <v>3</v>
      </c>
      <c r="H9" s="27" t="s">
        <v>1329</v>
      </c>
      <c r="I9" s="27" t="s">
        <v>1330</v>
      </c>
      <c r="J9" s="27" t="s">
        <v>883</v>
      </c>
      <c r="K9" s="27" t="s">
        <v>874</v>
      </c>
      <c r="L9" s="27" t="s">
        <v>939</v>
      </c>
      <c r="M9" s="29"/>
      <c r="N9" s="29"/>
      <c r="O9" s="29"/>
      <c r="P9" s="27" t="s">
        <v>101</v>
      </c>
      <c r="Q9" s="27">
        <v>5</v>
      </c>
      <c r="R9" s="14"/>
      <c r="S9" s="14"/>
      <c r="T9" s="30" t="str">
        <f>IF(OR(S9="",R9="",R9=0),"",ROUND(Q9*MIN(S9/R9,1),2))</f>
        <v/>
      </c>
      <c r="U9" s="30" t="str">
        <f>IF(T9="","",ROUND(T9/Q9*100,2))</f>
        <v/>
      </c>
      <c r="V9" s="8" t="str">
        <f t="shared" si="0"/>
        <v/>
      </c>
      <c r="W9" s="8" t="str">
        <f>IF($V9="Y",1,"")</f>
        <v/>
      </c>
      <c r="X9" s="8" t="str">
        <f>IF($V9="C",1,"")</f>
        <v/>
      </c>
      <c r="Y9" s="8" t="str">
        <f>IF($V9="W",1,"")</f>
        <v/>
      </c>
      <c r="Z9" s="8" t="str">
        <f>IF($V9="D",1,"")</f>
        <v/>
      </c>
    </row>
    <row r="10" spans="1:26">
      <c r="A10" s="20">
        <v>9.1999999999999993</v>
      </c>
      <c r="B10" s="20" t="s">
        <v>1342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>SUM(Q11:Q12)</f>
        <v>5</v>
      </c>
      <c r="R10" s="20"/>
      <c r="S10" s="20"/>
      <c r="T10" s="24">
        <f>SUM(T11:T12)</f>
        <v>0</v>
      </c>
      <c r="U10" s="24" t="str">
        <f>IF(COUNT(T11:T12)=0,"",ROUND(T10/Q10*100,2))</f>
        <v/>
      </c>
      <c r="V10" s="20" t="str">
        <f t="shared" si="0"/>
        <v/>
      </c>
      <c r="W10" s="20">
        <f t="shared" ref="W10:Z10" si="2">SUM(W11:W12)</f>
        <v>0</v>
      </c>
      <c r="X10" s="20">
        <f t="shared" si="2"/>
        <v>0</v>
      </c>
      <c r="Y10" s="20">
        <f t="shared" si="2"/>
        <v>0</v>
      </c>
      <c r="Z10" s="20">
        <f t="shared" si="2"/>
        <v>0</v>
      </c>
    </row>
    <row r="11" spans="1:26" ht="30">
      <c r="A11" s="27" t="s">
        <v>1344</v>
      </c>
      <c r="B11" s="27" t="s">
        <v>1345</v>
      </c>
      <c r="C11" s="27" t="s">
        <v>1345</v>
      </c>
      <c r="D11" s="27" t="s">
        <v>1346</v>
      </c>
      <c r="E11" s="27" t="s">
        <v>172</v>
      </c>
      <c r="F11" s="28">
        <v>0.05</v>
      </c>
      <c r="G11" s="29">
        <v>10</v>
      </c>
      <c r="H11" s="27" t="s">
        <v>1347</v>
      </c>
      <c r="I11" s="27" t="s">
        <v>1348</v>
      </c>
      <c r="J11" s="27" t="s">
        <v>333</v>
      </c>
      <c r="K11" s="27" t="s">
        <v>315</v>
      </c>
      <c r="L11" s="27" t="s">
        <v>804</v>
      </c>
      <c r="M11" s="29"/>
      <c r="N11" s="29"/>
      <c r="O11" s="29"/>
      <c r="P11" s="27" t="s">
        <v>101</v>
      </c>
      <c r="Q11" s="27">
        <v>2</v>
      </c>
      <c r="R11" s="14"/>
      <c r="S11" s="14"/>
      <c r="T11" s="30" t="str">
        <f t="shared" ref="T11:T12" si="3">IF(OR(S11="",R11="",R11=0),"",ROUND(Q11*MIN(S11/R11,1),2))</f>
        <v/>
      </c>
      <c r="U11" s="30" t="str">
        <f t="shared" ref="U11:U12" si="4">IF(T11="","",ROUND(T11/Q11*100,2))</f>
        <v/>
      </c>
      <c r="V11" s="8" t="str">
        <f t="shared" si="0"/>
        <v/>
      </c>
      <c r="W11" s="8" t="str">
        <f t="shared" ref="W11:W12" si="5">IF($V11="Y",1,"")</f>
        <v/>
      </c>
      <c r="X11" s="8" t="str">
        <f t="shared" ref="X11:X12" si="6">IF($V11="C",1,"")</f>
        <v/>
      </c>
      <c r="Y11" s="8" t="str">
        <f t="shared" ref="Y11:Y12" si="7">IF($V11="W",1,"")</f>
        <v/>
      </c>
      <c r="Z11" s="8" t="str">
        <f t="shared" ref="Z11:Z12" si="8">IF($V11="D",1,"")</f>
        <v/>
      </c>
    </row>
    <row r="12" spans="1:26" ht="30">
      <c r="A12" s="27" t="s">
        <v>1350</v>
      </c>
      <c r="B12" s="27" t="s">
        <v>1351</v>
      </c>
      <c r="C12" s="27" t="s">
        <v>1351</v>
      </c>
      <c r="D12" s="27" t="s">
        <v>1352</v>
      </c>
      <c r="E12" s="27" t="s">
        <v>1353</v>
      </c>
      <c r="F12" s="28">
        <v>0.1</v>
      </c>
      <c r="G12" s="29">
        <v>10</v>
      </c>
      <c r="H12" s="27" t="s">
        <v>1354</v>
      </c>
      <c r="I12" s="27" t="s">
        <v>1355</v>
      </c>
      <c r="J12" s="27" t="s">
        <v>1356</v>
      </c>
      <c r="K12" s="27" t="s">
        <v>315</v>
      </c>
      <c r="L12" s="27" t="s">
        <v>295</v>
      </c>
      <c r="M12" s="29"/>
      <c r="N12" s="29"/>
      <c r="O12" s="29"/>
      <c r="P12" s="27" t="s">
        <v>101</v>
      </c>
      <c r="Q12" s="27">
        <v>3</v>
      </c>
      <c r="R12" s="14"/>
      <c r="S12" s="14"/>
      <c r="T12" s="30" t="str">
        <f t="shared" si="3"/>
        <v/>
      </c>
      <c r="U12" s="30" t="str">
        <f t="shared" si="4"/>
        <v/>
      </c>
      <c r="V12" s="8" t="str">
        <f t="shared" si="0"/>
        <v/>
      </c>
      <c r="W12" s="8" t="str">
        <f t="shared" si="5"/>
        <v/>
      </c>
      <c r="X12" s="8" t="str">
        <f t="shared" si="6"/>
        <v/>
      </c>
      <c r="Y12" s="8" t="str">
        <f t="shared" si="7"/>
        <v/>
      </c>
      <c r="Z12" s="8" t="str">
        <f t="shared" si="8"/>
        <v/>
      </c>
    </row>
    <row r="13" spans="1:26">
      <c r="A13" s="20">
        <v>9.3000000000000007</v>
      </c>
      <c r="B13" s="20" t="s">
        <v>1358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>SUM(Q14:Q16)</f>
        <v>10</v>
      </c>
      <c r="R13" s="20"/>
      <c r="S13" s="20"/>
      <c r="T13" s="24">
        <f>SUM(T14:T16)</f>
        <v>0</v>
      </c>
      <c r="U13" s="24" t="str">
        <f>IF(COUNT(T14:T16)=0,"",ROUND(T13/Q13*100,2))</f>
        <v/>
      </c>
      <c r="V13" s="20" t="str">
        <f t="shared" si="0"/>
        <v/>
      </c>
      <c r="W13" s="20">
        <f t="shared" ref="W13:Z13" si="9">SUM(W14:W16)</f>
        <v>0</v>
      </c>
      <c r="X13" s="20">
        <f t="shared" si="9"/>
        <v>0</v>
      </c>
      <c r="Y13" s="20">
        <f t="shared" si="9"/>
        <v>0</v>
      </c>
      <c r="Z13" s="20">
        <f t="shared" si="9"/>
        <v>0</v>
      </c>
    </row>
    <row r="14" spans="1:26" ht="30">
      <c r="A14" s="27" t="s">
        <v>1361</v>
      </c>
      <c r="B14" s="27" t="s">
        <v>1362</v>
      </c>
      <c r="C14" s="27" t="s">
        <v>1363</v>
      </c>
      <c r="D14" s="27" t="s">
        <v>1364</v>
      </c>
      <c r="E14" s="27" t="s">
        <v>226</v>
      </c>
      <c r="F14" s="28">
        <v>0.2</v>
      </c>
      <c r="G14" s="29">
        <v>5</v>
      </c>
      <c r="H14" s="27" t="s">
        <v>339</v>
      </c>
      <c r="I14" s="27" t="s">
        <v>643</v>
      </c>
      <c r="J14" s="27" t="s">
        <v>333</v>
      </c>
      <c r="K14" s="27" t="s">
        <v>315</v>
      </c>
      <c r="L14" s="27" t="s">
        <v>647</v>
      </c>
      <c r="M14" s="29"/>
      <c r="N14" s="29"/>
      <c r="O14" s="29"/>
      <c r="P14" s="27" t="s">
        <v>101</v>
      </c>
      <c r="Q14" s="27">
        <v>3</v>
      </c>
      <c r="R14" s="14"/>
      <c r="S14" s="14"/>
      <c r="T14" s="30" t="str">
        <f t="shared" ref="T14:T16" si="10">IF(OR(S14="",R14="",R14=0),"",ROUND(Q14*MIN(S14/R14,1),2))</f>
        <v/>
      </c>
      <c r="U14" s="30" t="str">
        <f t="shared" ref="U14:U16" si="11">IF(T14="","",ROUND(T14/Q14*100,2))</f>
        <v/>
      </c>
      <c r="V14" s="8" t="str">
        <f t="shared" si="0"/>
        <v/>
      </c>
      <c r="W14" s="8" t="str">
        <f t="shared" ref="W14:W16" si="12">IF($V14="Y",1,"")</f>
        <v/>
      </c>
      <c r="X14" s="8" t="str">
        <f t="shared" ref="X14:X16" si="13">IF($V14="C",1,"")</f>
        <v/>
      </c>
      <c r="Y14" s="8" t="str">
        <f t="shared" ref="Y14:Y16" si="14">IF($V14="W",1,"")</f>
        <v/>
      </c>
      <c r="Z14" s="8" t="str">
        <f t="shared" ref="Z14:Z16" si="15">IF($V14="D",1,"")</f>
        <v/>
      </c>
    </row>
    <row r="15" spans="1:26" ht="30">
      <c r="A15" s="27" t="s">
        <v>1367</v>
      </c>
      <c r="B15" s="27" t="s">
        <v>1368</v>
      </c>
      <c r="C15" s="27" t="s">
        <v>1369</v>
      </c>
      <c r="D15" s="27" t="s">
        <v>1370</v>
      </c>
      <c r="E15" s="27" t="s">
        <v>1371</v>
      </c>
      <c r="F15" s="28">
        <v>0.5</v>
      </c>
      <c r="G15" s="29">
        <v>3</v>
      </c>
      <c r="H15" s="27" t="s">
        <v>1372</v>
      </c>
      <c r="I15" s="27" t="s">
        <v>1373</v>
      </c>
      <c r="J15" s="27" t="s">
        <v>333</v>
      </c>
      <c r="K15" s="27" t="s">
        <v>315</v>
      </c>
      <c r="L15" s="27" t="s">
        <v>484</v>
      </c>
      <c r="M15" s="29"/>
      <c r="N15" s="29"/>
      <c r="O15" s="29"/>
      <c r="P15" s="27" t="s">
        <v>101</v>
      </c>
      <c r="Q15" s="27">
        <v>2</v>
      </c>
      <c r="R15" s="14"/>
      <c r="S15" s="14"/>
      <c r="T15" s="30" t="str">
        <f t="shared" si="10"/>
        <v/>
      </c>
      <c r="U15" s="30" t="str">
        <f t="shared" si="11"/>
        <v/>
      </c>
      <c r="V15" s="8" t="str">
        <f t="shared" si="0"/>
        <v/>
      </c>
      <c r="W15" s="8" t="str">
        <f t="shared" si="12"/>
        <v/>
      </c>
      <c r="X15" s="8" t="str">
        <f t="shared" si="13"/>
        <v/>
      </c>
      <c r="Y15" s="8" t="str">
        <f t="shared" si="14"/>
        <v/>
      </c>
      <c r="Z15" s="8" t="str">
        <f t="shared" si="15"/>
        <v/>
      </c>
    </row>
    <row r="16" spans="1:26" ht="30">
      <c r="A16" s="27" t="s">
        <v>1375</v>
      </c>
      <c r="B16" s="27" t="s">
        <v>1376</v>
      </c>
      <c r="C16" s="27" t="s">
        <v>1377</v>
      </c>
      <c r="D16" s="27" t="s">
        <v>1378</v>
      </c>
      <c r="E16" s="27" t="s">
        <v>1371</v>
      </c>
      <c r="F16" s="28">
        <v>0.25</v>
      </c>
      <c r="G16" s="29">
        <v>5</v>
      </c>
      <c r="H16" s="27" t="s">
        <v>1379</v>
      </c>
      <c r="I16" s="27" t="s">
        <v>1380</v>
      </c>
      <c r="J16" s="27" t="s">
        <v>1381</v>
      </c>
      <c r="K16" s="27" t="s">
        <v>315</v>
      </c>
      <c r="L16" s="27" t="s">
        <v>295</v>
      </c>
      <c r="M16" s="29"/>
      <c r="N16" s="29"/>
      <c r="O16" s="29"/>
      <c r="P16" s="27" t="s">
        <v>101</v>
      </c>
      <c r="Q16" s="27">
        <v>5</v>
      </c>
      <c r="R16" s="14"/>
      <c r="S16" s="14"/>
      <c r="T16" s="30" t="str">
        <f t="shared" si="10"/>
        <v/>
      </c>
      <c r="U16" s="30" t="str">
        <f t="shared" si="11"/>
        <v/>
      </c>
      <c r="V16" s="8" t="str">
        <f t="shared" si="0"/>
        <v/>
      </c>
      <c r="W16" s="8" t="str">
        <f t="shared" si="12"/>
        <v/>
      </c>
      <c r="X16" s="8" t="str">
        <f t="shared" si="13"/>
        <v/>
      </c>
      <c r="Y16" s="8" t="str">
        <f t="shared" si="14"/>
        <v/>
      </c>
      <c r="Z16" s="8" t="str">
        <f t="shared" si="15"/>
        <v/>
      </c>
    </row>
    <row r="17" spans="1:26">
      <c r="A17" s="20">
        <v>9.4</v>
      </c>
      <c r="B17" s="20" t="s">
        <v>1382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>
        <f>SUM(Q18:Q19)</f>
        <v>10</v>
      </c>
      <c r="R17" s="20"/>
      <c r="S17" s="20"/>
      <c r="T17" s="24">
        <f>SUM(T18:T19)</f>
        <v>0</v>
      </c>
      <c r="U17" s="24" t="str">
        <f>IF(COUNT(T18:T19)=0,"",ROUND(T17/Q17*100,2))</f>
        <v/>
      </c>
      <c r="V17" s="20" t="str">
        <f t="shared" si="0"/>
        <v/>
      </c>
      <c r="W17" s="20">
        <f t="shared" ref="W17:Z17" si="16">SUM(W18:W19)</f>
        <v>0</v>
      </c>
      <c r="X17" s="20">
        <f t="shared" si="16"/>
        <v>0</v>
      </c>
      <c r="Y17" s="20">
        <f t="shared" si="16"/>
        <v>0</v>
      </c>
      <c r="Z17" s="20">
        <f t="shared" si="16"/>
        <v>0</v>
      </c>
    </row>
    <row r="18" spans="1:26" ht="30">
      <c r="A18" s="27" t="s">
        <v>1386</v>
      </c>
      <c r="B18" s="27" t="s">
        <v>1387</v>
      </c>
      <c r="C18" s="27" t="s">
        <v>1387</v>
      </c>
      <c r="D18" s="27" t="s">
        <v>1388</v>
      </c>
      <c r="E18" s="27" t="s">
        <v>172</v>
      </c>
      <c r="F18" s="28">
        <v>0.1</v>
      </c>
      <c r="G18" s="29">
        <v>10</v>
      </c>
      <c r="H18" s="27" t="s">
        <v>1389</v>
      </c>
      <c r="I18" s="27" t="s">
        <v>1390</v>
      </c>
      <c r="J18" s="27" t="s">
        <v>1391</v>
      </c>
      <c r="K18" s="27" t="s">
        <v>315</v>
      </c>
      <c r="L18" s="27" t="s">
        <v>804</v>
      </c>
      <c r="M18" s="29"/>
      <c r="N18" s="29"/>
      <c r="O18" s="29"/>
      <c r="P18" s="27" t="s">
        <v>101</v>
      </c>
      <c r="Q18" s="27">
        <v>5</v>
      </c>
      <c r="R18" s="14"/>
      <c r="S18" s="14"/>
      <c r="T18" s="30" t="str">
        <f t="shared" ref="T18:T19" si="17">IF(OR(S18="",R18="",R18=0),"",ROUND(Q18*MIN(S18/R18,1),2))</f>
        <v/>
      </c>
      <c r="U18" s="30" t="str">
        <f t="shared" ref="U18:U19" si="18">IF(T18="","",ROUND(T18/Q18*100,2))</f>
        <v/>
      </c>
      <c r="V18" s="8" t="str">
        <f t="shared" si="0"/>
        <v/>
      </c>
      <c r="W18" s="8" t="str">
        <f t="shared" ref="W18:W19" si="19">IF($V18="Y",1,"")</f>
        <v/>
      </c>
      <c r="X18" s="8" t="str">
        <f t="shared" ref="X18:X19" si="20">IF($V18="C",1,"")</f>
        <v/>
      </c>
      <c r="Y18" s="8" t="str">
        <f t="shared" ref="Y18:Y19" si="21">IF($V18="W",1,"")</f>
        <v/>
      </c>
      <c r="Z18" s="8" t="str">
        <f t="shared" ref="Z18:Z19" si="22">IF($V18="D",1,"")</f>
        <v/>
      </c>
    </row>
    <row r="19" spans="1:26" ht="30">
      <c r="A19" s="27" t="s">
        <v>1395</v>
      </c>
      <c r="B19" s="27" t="s">
        <v>1396</v>
      </c>
      <c r="C19" s="27" t="s">
        <v>1396</v>
      </c>
      <c r="D19" s="27" t="s">
        <v>1397</v>
      </c>
      <c r="E19" s="27" t="s">
        <v>1398</v>
      </c>
      <c r="F19" s="28">
        <v>0.25</v>
      </c>
      <c r="G19" s="29">
        <v>5</v>
      </c>
      <c r="H19" s="27" t="s">
        <v>1399</v>
      </c>
      <c r="I19" s="27" t="s">
        <v>759</v>
      </c>
      <c r="J19" s="27" t="s">
        <v>760</v>
      </c>
      <c r="K19" s="27" t="s">
        <v>761</v>
      </c>
      <c r="L19" s="27" t="s">
        <v>912</v>
      </c>
      <c r="M19" s="29"/>
      <c r="N19" s="29"/>
      <c r="O19" s="29"/>
      <c r="P19" s="27" t="s">
        <v>263</v>
      </c>
      <c r="Q19" s="27">
        <v>5</v>
      </c>
      <c r="R19" s="14"/>
      <c r="S19" s="14"/>
      <c r="T19" s="30" t="str">
        <f t="shared" si="17"/>
        <v/>
      </c>
      <c r="U19" s="30" t="str">
        <f t="shared" si="18"/>
        <v/>
      </c>
      <c r="V19" s="8" t="str">
        <f t="shared" si="0"/>
        <v/>
      </c>
      <c r="W19" s="8" t="str">
        <f t="shared" si="19"/>
        <v/>
      </c>
      <c r="X19" s="8" t="str">
        <f t="shared" si="20"/>
        <v/>
      </c>
      <c r="Y19" s="8" t="str">
        <f t="shared" si="21"/>
        <v/>
      </c>
      <c r="Z19" s="8" t="str">
        <f t="shared" si="22"/>
        <v/>
      </c>
    </row>
    <row r="20" spans="1:26">
      <c r="A20" s="20">
        <v>9.5</v>
      </c>
      <c r="B20" s="20" t="s">
        <v>1400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f>SUM(Q21)</f>
        <v>5</v>
      </c>
      <c r="R20" s="20"/>
      <c r="S20" s="20"/>
      <c r="T20" s="24">
        <f>SUM(T21)</f>
        <v>0</v>
      </c>
      <c r="U20" s="24" t="str">
        <f>IF(COUNT(T21)=0,"",ROUND(T20/Q20*100,2))</f>
        <v/>
      </c>
      <c r="V20" s="20" t="str">
        <f t="shared" si="0"/>
        <v/>
      </c>
      <c r="W20" s="20">
        <f t="shared" ref="W20:Z20" si="23">SUM(W21)</f>
        <v>0</v>
      </c>
      <c r="X20" s="20">
        <f t="shared" si="23"/>
        <v>0</v>
      </c>
      <c r="Y20" s="20">
        <f t="shared" si="23"/>
        <v>0</v>
      </c>
      <c r="Z20" s="20">
        <f t="shared" si="23"/>
        <v>0</v>
      </c>
    </row>
    <row r="21" spans="1:26" ht="15.75" customHeight="1">
      <c r="A21" s="27" t="s">
        <v>1404</v>
      </c>
      <c r="B21" s="27" t="s">
        <v>1405</v>
      </c>
      <c r="C21" s="27" t="s">
        <v>1405</v>
      </c>
      <c r="D21" s="27" t="s">
        <v>1406</v>
      </c>
      <c r="E21" s="27" t="s">
        <v>757</v>
      </c>
      <c r="F21" s="28">
        <v>1</v>
      </c>
      <c r="G21" s="29">
        <v>5</v>
      </c>
      <c r="H21" s="27" t="s">
        <v>1029</v>
      </c>
      <c r="I21" s="27" t="s">
        <v>759</v>
      </c>
      <c r="J21" s="27" t="s">
        <v>760</v>
      </c>
      <c r="K21" s="27" t="s">
        <v>761</v>
      </c>
      <c r="L21" s="27" t="s">
        <v>515</v>
      </c>
      <c r="M21" s="29"/>
      <c r="N21" s="29"/>
      <c r="O21" s="29"/>
      <c r="P21" s="27" t="s">
        <v>263</v>
      </c>
      <c r="Q21" s="27">
        <v>5</v>
      </c>
      <c r="R21" s="14"/>
      <c r="S21" s="14"/>
      <c r="T21" s="30" t="str">
        <f>IF(OR(S21="",R21="",R21=0),"",ROUND(Q21*MIN(S21/R21,1),2))</f>
        <v/>
      </c>
      <c r="U21" s="30" t="str">
        <f>IF(T21="","",ROUND(T21/Q21*100,2))</f>
        <v/>
      </c>
      <c r="V21" s="8" t="str">
        <f t="shared" si="0"/>
        <v/>
      </c>
      <c r="W21" s="8" t="str">
        <f>IF($V21="Y",1,"")</f>
        <v/>
      </c>
      <c r="X21" s="8" t="str">
        <f>IF($V21="C",1,"")</f>
        <v/>
      </c>
      <c r="Y21" s="8" t="str">
        <f>IF($V21="W",1,"")</f>
        <v/>
      </c>
      <c r="Z21" s="8" t="str">
        <f>IF($V21="D",1,"")</f>
        <v/>
      </c>
    </row>
    <row r="22" spans="1:26" ht="15.75" customHeight="1">
      <c r="A22" s="20">
        <v>9.6</v>
      </c>
      <c r="B22" s="20" t="s">
        <v>1411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>SUM(Q23:Q25)</f>
        <v>25</v>
      </c>
      <c r="R22" s="20"/>
      <c r="S22" s="20"/>
      <c r="T22" s="24">
        <f>SUM(T23:T25)</f>
        <v>0</v>
      </c>
      <c r="U22" s="24" t="str">
        <f>IF(COUNT(T23:T25)=0,"",ROUND(T22/Q22*100,2))</f>
        <v/>
      </c>
      <c r="V22" s="20" t="str">
        <f t="shared" si="0"/>
        <v/>
      </c>
      <c r="W22" s="20">
        <f t="shared" ref="W22:Z22" si="24">SUM(W23:W25)</f>
        <v>0</v>
      </c>
      <c r="X22" s="20">
        <f t="shared" si="24"/>
        <v>0</v>
      </c>
      <c r="Y22" s="20">
        <f t="shared" si="24"/>
        <v>0</v>
      </c>
      <c r="Z22" s="20">
        <f t="shared" si="24"/>
        <v>0</v>
      </c>
    </row>
    <row r="23" spans="1:26" ht="15.75" customHeight="1">
      <c r="A23" s="27" t="s">
        <v>1424</v>
      </c>
      <c r="B23" s="27" t="s">
        <v>1425</v>
      </c>
      <c r="C23" s="27" t="s">
        <v>1426</v>
      </c>
      <c r="D23" s="27" t="s">
        <v>1427</v>
      </c>
      <c r="E23" s="27" t="s">
        <v>1428</v>
      </c>
      <c r="F23" s="28">
        <v>0.5</v>
      </c>
      <c r="G23" s="29">
        <v>5</v>
      </c>
      <c r="H23" s="27" t="s">
        <v>1429</v>
      </c>
      <c r="I23" s="27" t="s">
        <v>1430</v>
      </c>
      <c r="J23" s="27" t="s">
        <v>1041</v>
      </c>
      <c r="K23" s="27" t="s">
        <v>315</v>
      </c>
      <c r="L23" s="27" t="s">
        <v>804</v>
      </c>
      <c r="M23" s="29"/>
      <c r="N23" s="29"/>
      <c r="O23" s="29"/>
      <c r="P23" s="27" t="s">
        <v>101</v>
      </c>
      <c r="Q23" s="27">
        <v>10</v>
      </c>
      <c r="R23" s="14"/>
      <c r="S23" s="14"/>
      <c r="T23" s="30" t="str">
        <f t="shared" ref="T23:T25" si="25">IF(OR(S23="",R23="",R23=0),"",ROUND(Q23*MIN(S23/R23,1),2))</f>
        <v/>
      </c>
      <c r="U23" s="30" t="str">
        <f t="shared" ref="U23:U25" si="26">IF(T23="","",ROUND(T23/Q23*100,2))</f>
        <v/>
      </c>
      <c r="V23" s="8" t="str">
        <f t="shared" si="0"/>
        <v/>
      </c>
      <c r="W23" s="8" t="str">
        <f t="shared" ref="W23:W25" si="27">IF($V23="Y",1,"")</f>
        <v/>
      </c>
      <c r="X23" s="8" t="str">
        <f t="shared" ref="X23:X25" si="28">IF($V23="C",1,"")</f>
        <v/>
      </c>
      <c r="Y23" s="8" t="str">
        <f t="shared" ref="Y23:Y25" si="29">IF($V23="W",1,"")</f>
        <v/>
      </c>
      <c r="Z23" s="8" t="str">
        <f t="shared" ref="Z23:Z25" si="30">IF($V23="D",1,"")</f>
        <v/>
      </c>
    </row>
    <row r="24" spans="1:26" ht="15.75" customHeight="1">
      <c r="A24" s="27" t="s">
        <v>1432</v>
      </c>
      <c r="B24" s="27" t="s">
        <v>1433</v>
      </c>
      <c r="C24" s="27" t="s">
        <v>1435</v>
      </c>
      <c r="D24" s="27" t="s">
        <v>1436</v>
      </c>
      <c r="E24" s="27" t="s">
        <v>1353</v>
      </c>
      <c r="F24" s="28">
        <v>1</v>
      </c>
      <c r="G24" s="29">
        <v>4</v>
      </c>
      <c r="H24" s="27" t="s">
        <v>1437</v>
      </c>
      <c r="I24" s="27" t="s">
        <v>1438</v>
      </c>
      <c r="J24" s="27" t="s">
        <v>1278</v>
      </c>
      <c r="K24" s="27" t="s">
        <v>1439</v>
      </c>
      <c r="L24" s="27" t="s">
        <v>1279</v>
      </c>
      <c r="M24" s="29"/>
      <c r="N24" s="29"/>
      <c r="O24" s="29"/>
      <c r="P24" s="27" t="s">
        <v>101</v>
      </c>
      <c r="Q24" s="27">
        <v>10</v>
      </c>
      <c r="R24" s="14"/>
      <c r="S24" s="14"/>
      <c r="T24" s="30" t="str">
        <f t="shared" si="25"/>
        <v/>
      </c>
      <c r="U24" s="30" t="str">
        <f t="shared" si="26"/>
        <v/>
      </c>
      <c r="V24" s="8" t="str">
        <f t="shared" si="0"/>
        <v/>
      </c>
      <c r="W24" s="8" t="str">
        <f t="shared" si="27"/>
        <v/>
      </c>
      <c r="X24" s="8" t="str">
        <f t="shared" si="28"/>
        <v/>
      </c>
      <c r="Y24" s="8" t="str">
        <f t="shared" si="29"/>
        <v/>
      </c>
      <c r="Z24" s="8" t="str">
        <f t="shared" si="30"/>
        <v/>
      </c>
    </row>
    <row r="25" spans="1:26" ht="15.75" customHeight="1">
      <c r="A25" s="27" t="s">
        <v>1440</v>
      </c>
      <c r="B25" s="27" t="s">
        <v>1441</v>
      </c>
      <c r="C25" s="27" t="s">
        <v>1442</v>
      </c>
      <c r="D25" s="27" t="s">
        <v>1443</v>
      </c>
      <c r="E25" s="27" t="s">
        <v>1444</v>
      </c>
      <c r="F25" s="28">
        <v>0.25</v>
      </c>
      <c r="G25" s="29">
        <v>10</v>
      </c>
      <c r="H25" s="27" t="s">
        <v>1445</v>
      </c>
      <c r="I25" s="27" t="s">
        <v>1220</v>
      </c>
      <c r="J25" s="27" t="s">
        <v>1446</v>
      </c>
      <c r="K25" s="27" t="s">
        <v>1447</v>
      </c>
      <c r="L25" s="27" t="s">
        <v>1448</v>
      </c>
      <c r="M25" s="29"/>
      <c r="N25" s="29"/>
      <c r="O25" s="29"/>
      <c r="P25" s="27" t="s">
        <v>101</v>
      </c>
      <c r="Q25" s="27">
        <v>5</v>
      </c>
      <c r="R25" s="14"/>
      <c r="S25" s="14"/>
      <c r="T25" s="30" t="str">
        <f t="shared" si="25"/>
        <v/>
      </c>
      <c r="U25" s="30" t="str">
        <f t="shared" si="26"/>
        <v/>
      </c>
      <c r="V25" s="8" t="str">
        <f t="shared" si="0"/>
        <v/>
      </c>
      <c r="W25" s="8" t="str">
        <f t="shared" si="27"/>
        <v/>
      </c>
      <c r="X25" s="8" t="str">
        <f t="shared" si="28"/>
        <v/>
      </c>
      <c r="Y25" s="8" t="str">
        <f t="shared" si="29"/>
        <v/>
      </c>
      <c r="Z25" s="8" t="str">
        <f t="shared" si="30"/>
        <v/>
      </c>
    </row>
    <row r="26" spans="1:26" ht="15.75" customHeight="1">
      <c r="A26" s="20">
        <v>9.6999999999999993</v>
      </c>
      <c r="B26" s="20" t="s">
        <v>1450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>SUM(Q27)</f>
        <v>12</v>
      </c>
      <c r="R26" s="20"/>
      <c r="S26" s="20"/>
      <c r="T26" s="24">
        <f>SUM(T27)</f>
        <v>0</v>
      </c>
      <c r="U26" s="24" t="str">
        <f>IF(COUNT(T27)=0,"",ROUND(T26/Q26*100,2))</f>
        <v/>
      </c>
      <c r="V26" s="20" t="str">
        <f t="shared" si="0"/>
        <v/>
      </c>
      <c r="W26" s="20">
        <f t="shared" ref="W26:Z26" si="31">SUM(W27)</f>
        <v>0</v>
      </c>
      <c r="X26" s="20">
        <f t="shared" si="31"/>
        <v>0</v>
      </c>
      <c r="Y26" s="20">
        <f t="shared" si="31"/>
        <v>0</v>
      </c>
      <c r="Z26" s="20">
        <f t="shared" si="31"/>
        <v>0</v>
      </c>
    </row>
    <row r="27" spans="1:26" ht="15.75" customHeight="1">
      <c r="A27" s="27" t="s">
        <v>1452</v>
      </c>
      <c r="B27" s="27" t="s">
        <v>1453</v>
      </c>
      <c r="C27" s="27" t="s">
        <v>1453</v>
      </c>
      <c r="D27" s="27" t="s">
        <v>1454</v>
      </c>
      <c r="E27" s="27" t="s">
        <v>1455</v>
      </c>
      <c r="F27" s="28">
        <v>0.25</v>
      </c>
      <c r="G27" s="29">
        <v>5</v>
      </c>
      <c r="H27" s="27" t="s">
        <v>1456</v>
      </c>
      <c r="I27" s="27" t="s">
        <v>1457</v>
      </c>
      <c r="J27" s="27" t="s">
        <v>1458</v>
      </c>
      <c r="K27" s="27" t="s">
        <v>1459</v>
      </c>
      <c r="L27" s="27" t="s">
        <v>912</v>
      </c>
      <c r="M27" s="29"/>
      <c r="N27" s="29"/>
      <c r="O27" s="29"/>
      <c r="P27" s="27" t="s">
        <v>101</v>
      </c>
      <c r="Q27" s="27">
        <v>12</v>
      </c>
      <c r="R27" s="14"/>
      <c r="S27" s="14"/>
      <c r="T27" s="30" t="str">
        <f>IF(OR(S27="",R27="",R27=0),"",ROUND(Q27*MIN(S27/R27,1),2))</f>
        <v/>
      </c>
      <c r="U27" s="30" t="str">
        <f>IF(T27="","",ROUND(T27/Q27*100,2))</f>
        <v/>
      </c>
      <c r="V27" s="8" t="str">
        <f t="shared" si="0"/>
        <v/>
      </c>
      <c r="W27" s="8" t="str">
        <f>IF($V27="Y",1,"")</f>
        <v/>
      </c>
      <c r="X27" s="8" t="str">
        <f>IF($V27="C",1,"")</f>
        <v/>
      </c>
      <c r="Y27" s="8" t="str">
        <f>IF($V27="W",1,"")</f>
        <v/>
      </c>
      <c r="Z27" s="8" t="str">
        <f>IF($V27="D",1,"")</f>
        <v/>
      </c>
    </row>
    <row r="28" spans="1:26" ht="15.75" customHeight="1">
      <c r="A28" s="20">
        <v>9.8000000000000007</v>
      </c>
      <c r="B28" s="20" t="s">
        <v>1460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>SUM(Q29)</f>
        <v>8</v>
      </c>
      <c r="R28" s="20"/>
      <c r="S28" s="20"/>
      <c r="T28" s="24">
        <f>SUM(T29)</f>
        <v>0</v>
      </c>
      <c r="U28" s="24" t="str">
        <f>IF(COUNT(T29)=0,"",ROUND(T28/Q28*100,2))</f>
        <v/>
      </c>
      <c r="V28" s="20" t="str">
        <f t="shared" si="0"/>
        <v/>
      </c>
      <c r="W28" s="20">
        <f t="shared" ref="W28:Z28" si="32">SUM(W29)</f>
        <v>0</v>
      </c>
      <c r="X28" s="20">
        <f t="shared" si="32"/>
        <v>0</v>
      </c>
      <c r="Y28" s="20">
        <f t="shared" si="32"/>
        <v>0</v>
      </c>
      <c r="Z28" s="20">
        <f t="shared" si="32"/>
        <v>0</v>
      </c>
    </row>
    <row r="29" spans="1:26" ht="15.75" customHeight="1">
      <c r="A29" s="27" t="s">
        <v>1462</v>
      </c>
      <c r="B29" s="27" t="s">
        <v>1463</v>
      </c>
      <c r="C29" s="27" t="s">
        <v>1463</v>
      </c>
      <c r="D29" s="27" t="s">
        <v>1464</v>
      </c>
      <c r="E29" s="27" t="s">
        <v>1455</v>
      </c>
      <c r="F29" s="28">
        <v>0.25</v>
      </c>
      <c r="G29" s="29">
        <v>5</v>
      </c>
      <c r="H29" s="27" t="s">
        <v>1465</v>
      </c>
      <c r="I29" s="27" t="s">
        <v>1457</v>
      </c>
      <c r="J29" s="27" t="s">
        <v>1458</v>
      </c>
      <c r="K29" s="27" t="s">
        <v>1459</v>
      </c>
      <c r="L29" s="27" t="s">
        <v>912</v>
      </c>
      <c r="M29" s="29"/>
      <c r="N29" s="29"/>
      <c r="O29" s="29"/>
      <c r="P29" s="27" t="s">
        <v>101</v>
      </c>
      <c r="Q29" s="27">
        <v>8</v>
      </c>
      <c r="R29" s="14"/>
      <c r="S29" s="14"/>
      <c r="T29" s="30" t="str">
        <f>IF(OR(S29="",R29="",R29=0),"",ROUND(Q29*MIN(S29/R29,1),2))</f>
        <v/>
      </c>
      <c r="U29" s="30" t="str">
        <f>IF(T29="","",ROUND(T29/Q29*100,2))</f>
        <v/>
      </c>
      <c r="V29" s="8" t="str">
        <f t="shared" si="0"/>
        <v/>
      </c>
      <c r="W29" s="8" t="str">
        <f>IF($V29="Y",1,"")</f>
        <v/>
      </c>
      <c r="X29" s="8" t="str">
        <f>IF($V29="C",1,"")</f>
        <v/>
      </c>
      <c r="Y29" s="8" t="str">
        <f>IF($V29="W",1,"")</f>
        <v/>
      </c>
      <c r="Z29" s="8" t="str">
        <f>IF($V29="D",1,"")</f>
        <v/>
      </c>
    </row>
    <row r="30" spans="1:26" ht="15.75" customHeight="1">
      <c r="A30" s="20">
        <v>9.9</v>
      </c>
      <c r="B30" s="20" t="s">
        <v>1467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>
        <f>SUM(Q31)</f>
        <v>5</v>
      </c>
      <c r="R30" s="20"/>
      <c r="S30" s="20"/>
      <c r="T30" s="24">
        <f>SUM(T31)</f>
        <v>0</v>
      </c>
      <c r="U30" s="24" t="str">
        <f>IF(COUNT(T31)=0,"",ROUND(T30/Q30*100,2))</f>
        <v/>
      </c>
      <c r="V30" s="20" t="str">
        <f t="shared" si="0"/>
        <v/>
      </c>
      <c r="W30" s="20">
        <f t="shared" ref="W30:Z30" si="33">SUM(W31)</f>
        <v>0</v>
      </c>
      <c r="X30" s="20">
        <f t="shared" si="33"/>
        <v>0</v>
      </c>
      <c r="Y30" s="20">
        <f t="shared" si="33"/>
        <v>0</v>
      </c>
      <c r="Z30" s="20">
        <f t="shared" si="33"/>
        <v>0</v>
      </c>
    </row>
    <row r="31" spans="1:26" ht="15.75" customHeight="1">
      <c r="A31" s="27" t="s">
        <v>1468</v>
      </c>
      <c r="B31" s="27" t="s">
        <v>1469</v>
      </c>
      <c r="C31" s="27" t="s">
        <v>1469</v>
      </c>
      <c r="D31" s="27" t="s">
        <v>1470</v>
      </c>
      <c r="E31" s="27" t="s">
        <v>172</v>
      </c>
      <c r="F31" s="28">
        <v>0.05</v>
      </c>
      <c r="G31" s="29">
        <v>10</v>
      </c>
      <c r="H31" s="27" t="s">
        <v>1471</v>
      </c>
      <c r="I31" s="27" t="s">
        <v>1472</v>
      </c>
      <c r="J31" s="27" t="s">
        <v>1041</v>
      </c>
      <c r="K31" s="27" t="s">
        <v>315</v>
      </c>
      <c r="L31" s="27" t="s">
        <v>804</v>
      </c>
      <c r="M31" s="29"/>
      <c r="N31" s="29"/>
      <c r="O31" s="29"/>
      <c r="P31" s="27" t="s">
        <v>101</v>
      </c>
      <c r="Q31" s="27">
        <v>5</v>
      </c>
      <c r="R31" s="14"/>
      <c r="S31" s="14"/>
      <c r="T31" s="30" t="str">
        <f>IF(OR(S31="",R31="",R31=0),"",ROUND(Q31*MIN(S31/R31,1),2))</f>
        <v/>
      </c>
      <c r="U31" s="30" t="str">
        <f>IF(T31="","",ROUND(T31/Q31*100,2))</f>
        <v/>
      </c>
      <c r="V31" s="8" t="str">
        <f t="shared" si="0"/>
        <v/>
      </c>
      <c r="W31" s="8" t="str">
        <f>IF($V31="Y",1,"")</f>
        <v/>
      </c>
      <c r="X31" s="8" t="str">
        <f>IF($V31="C",1,"")</f>
        <v/>
      </c>
      <c r="Y31" s="8" t="str">
        <f>IF($V31="W",1,"")</f>
        <v/>
      </c>
      <c r="Z31" s="8" t="str">
        <f>IF($V31="D",1,"")</f>
        <v/>
      </c>
    </row>
    <row r="32" spans="1:26" ht="15.75" customHeight="1">
      <c r="A32" s="20">
        <v>9.1</v>
      </c>
      <c r="B32" s="20" t="s">
        <v>1475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>
        <f>SUM(Q33)</f>
        <v>5</v>
      </c>
      <c r="R32" s="20"/>
      <c r="S32" s="20"/>
      <c r="T32" s="24">
        <f>SUM(T33)</f>
        <v>0</v>
      </c>
      <c r="U32" s="24" t="str">
        <f>IF(COUNT(T33)=0,"",ROUND(T32/Q32*100,2))</f>
        <v/>
      </c>
      <c r="V32" s="20" t="str">
        <f t="shared" si="0"/>
        <v/>
      </c>
      <c r="W32" s="20">
        <f t="shared" ref="W32:Z32" si="34">SUM(W33)</f>
        <v>0</v>
      </c>
      <c r="X32" s="20">
        <f t="shared" si="34"/>
        <v>0</v>
      </c>
      <c r="Y32" s="20">
        <f t="shared" si="34"/>
        <v>0</v>
      </c>
      <c r="Z32" s="20">
        <f t="shared" si="34"/>
        <v>0</v>
      </c>
    </row>
    <row r="33" spans="1:26" ht="15.75" customHeight="1">
      <c r="A33" s="27" t="s">
        <v>1478</v>
      </c>
      <c r="B33" s="27" t="s">
        <v>1479</v>
      </c>
      <c r="C33" s="27" t="s">
        <v>1479</v>
      </c>
      <c r="D33" s="27" t="s">
        <v>1480</v>
      </c>
      <c r="E33" s="27" t="s">
        <v>1481</v>
      </c>
      <c r="F33" s="28">
        <v>1</v>
      </c>
      <c r="G33" s="29">
        <v>5</v>
      </c>
      <c r="H33" s="27" t="s">
        <v>1482</v>
      </c>
      <c r="I33" s="27" t="s">
        <v>1483</v>
      </c>
      <c r="J33" s="27" t="s">
        <v>333</v>
      </c>
      <c r="K33" s="27" t="s">
        <v>315</v>
      </c>
      <c r="L33" s="27" t="s">
        <v>804</v>
      </c>
      <c r="M33" s="29"/>
      <c r="N33" s="29"/>
      <c r="O33" s="29"/>
      <c r="P33" s="27" t="s">
        <v>101</v>
      </c>
      <c r="Q33" s="27">
        <v>5</v>
      </c>
      <c r="R33" s="14"/>
      <c r="S33" s="14"/>
      <c r="T33" s="30" t="str">
        <f>IF(OR(S33="",R33="",R33=0),"",ROUND(Q33*MIN(S33/R33,1),2))</f>
        <v/>
      </c>
      <c r="U33" s="30" t="str">
        <f>IF(T33="","",ROUND(T33/Q33*100,2))</f>
        <v/>
      </c>
      <c r="V33" s="8" t="str">
        <f t="shared" si="0"/>
        <v/>
      </c>
      <c r="W33" s="8" t="str">
        <f>IF($V33="Y",1,"")</f>
        <v/>
      </c>
      <c r="X33" s="8" t="str">
        <f>IF($V33="C",1,"")</f>
        <v/>
      </c>
      <c r="Y33" s="8" t="str">
        <f>IF($V33="W",1,"")</f>
        <v/>
      </c>
      <c r="Z33" s="8" t="str">
        <f>IF($V33="D",1,"")</f>
        <v/>
      </c>
    </row>
    <row r="34" spans="1:26" ht="15.75" customHeight="1">
      <c r="A34" s="20">
        <v>9.11</v>
      </c>
      <c r="B34" s="20" t="s">
        <v>1485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>
        <f>SUM(Q35)</f>
        <v>10</v>
      </c>
      <c r="R34" s="20"/>
      <c r="S34" s="20"/>
      <c r="T34" s="24">
        <f>SUM(T35)</f>
        <v>0</v>
      </c>
      <c r="U34" s="24" t="str">
        <f>IF(COUNT(T35)=0,"",ROUND(T34/Q34*100,2))</f>
        <v/>
      </c>
      <c r="V34" s="20" t="str">
        <f t="shared" si="0"/>
        <v/>
      </c>
      <c r="W34" s="20">
        <f t="shared" ref="W34:Z34" si="35">SUM(W35)</f>
        <v>0</v>
      </c>
      <c r="X34" s="20">
        <f t="shared" si="35"/>
        <v>0</v>
      </c>
      <c r="Y34" s="20">
        <f t="shared" si="35"/>
        <v>0</v>
      </c>
      <c r="Z34" s="20">
        <f t="shared" si="35"/>
        <v>0</v>
      </c>
    </row>
    <row r="35" spans="1:26" ht="15.75" customHeight="1">
      <c r="A35" s="27" t="s">
        <v>1487</v>
      </c>
      <c r="B35" s="27" t="s">
        <v>1485</v>
      </c>
      <c r="C35" s="27" t="s">
        <v>1485</v>
      </c>
      <c r="D35" s="27" t="s">
        <v>1488</v>
      </c>
      <c r="E35" s="27" t="s">
        <v>1489</v>
      </c>
      <c r="F35" s="28">
        <v>1</v>
      </c>
      <c r="G35" s="29">
        <v>5</v>
      </c>
      <c r="H35" s="27" t="s">
        <v>1029</v>
      </c>
      <c r="I35" s="27" t="s">
        <v>759</v>
      </c>
      <c r="J35" s="27" t="s">
        <v>760</v>
      </c>
      <c r="K35" s="27" t="s">
        <v>761</v>
      </c>
      <c r="L35" s="27" t="s">
        <v>515</v>
      </c>
      <c r="M35" s="29"/>
      <c r="N35" s="29"/>
      <c r="O35" s="29"/>
      <c r="P35" s="27" t="s">
        <v>263</v>
      </c>
      <c r="Q35" s="27">
        <v>10</v>
      </c>
      <c r="R35" s="14"/>
      <c r="S35" s="14"/>
      <c r="T35" s="30" t="str">
        <f>IF(OR(S35="",R35="",R35=0),"",ROUND(Q35*MIN(S35/R35,1),2))</f>
        <v/>
      </c>
      <c r="U35" s="30" t="str">
        <f>IF(T35="","",ROUND(T35/Q35*100,2))</f>
        <v/>
      </c>
      <c r="V35" s="8" t="str">
        <f t="shared" si="0"/>
        <v/>
      </c>
      <c r="W35" s="8" t="str">
        <f>IF($V35="Y",1,"")</f>
        <v/>
      </c>
      <c r="X35" s="8" t="str">
        <f>IF($V35="C",1,"")</f>
        <v/>
      </c>
      <c r="Y35" s="8" t="str">
        <f>IF($V35="W",1,"")</f>
        <v/>
      </c>
      <c r="Z35" s="8" t="str">
        <f>IF($V35="D",1,"")</f>
        <v/>
      </c>
    </row>
    <row r="36" spans="1:26" ht="15.75" customHeight="1">
      <c r="A36" s="20">
        <v>9.1199999999999992</v>
      </c>
      <c r="B36" s="20" t="s">
        <v>1493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>
        <f>SUM(Q37)</f>
        <v>5</v>
      </c>
      <c r="R36" s="20"/>
      <c r="S36" s="20"/>
      <c r="T36" s="24">
        <f>SUM(T37)</f>
        <v>0</v>
      </c>
      <c r="U36" s="24" t="str">
        <f>IF(COUNT(T37)=0,"",ROUND(T36/Q36*100,2))</f>
        <v/>
      </c>
      <c r="V36" s="20" t="str">
        <f t="shared" si="0"/>
        <v/>
      </c>
      <c r="W36" s="20">
        <f t="shared" ref="W36:Z36" si="36">SUM(W37)</f>
        <v>0</v>
      </c>
      <c r="X36" s="20">
        <f t="shared" si="36"/>
        <v>0</v>
      </c>
      <c r="Y36" s="20">
        <f t="shared" si="36"/>
        <v>0</v>
      </c>
      <c r="Z36" s="20">
        <f t="shared" si="36"/>
        <v>0</v>
      </c>
    </row>
    <row r="37" spans="1:26" ht="15.75" customHeight="1">
      <c r="A37" s="27" t="s">
        <v>1494</v>
      </c>
      <c r="B37" s="27" t="s">
        <v>1493</v>
      </c>
      <c r="C37" s="27" t="s">
        <v>1493</v>
      </c>
      <c r="D37" s="27" t="s">
        <v>1495</v>
      </c>
      <c r="E37" s="27" t="s">
        <v>1489</v>
      </c>
      <c r="F37" s="28">
        <v>1</v>
      </c>
      <c r="G37" s="29">
        <v>3</v>
      </c>
      <c r="H37" s="27" t="s">
        <v>1120</v>
      </c>
      <c r="I37" s="27" t="s">
        <v>1496</v>
      </c>
      <c r="J37" s="27" t="s">
        <v>760</v>
      </c>
      <c r="K37" s="27" t="s">
        <v>761</v>
      </c>
      <c r="L37" s="27" t="s">
        <v>484</v>
      </c>
      <c r="M37" s="29"/>
      <c r="N37" s="29"/>
      <c r="O37" s="29"/>
      <c r="P37" s="27" t="s">
        <v>263</v>
      </c>
      <c r="Q37" s="27">
        <v>5</v>
      </c>
      <c r="R37" s="14"/>
      <c r="S37" s="14"/>
      <c r="T37" s="30" t="str">
        <f>IF(OR(S37="",R37="",R37=0),"",ROUND(Q37*MIN(S37/R37,1),2))</f>
        <v/>
      </c>
      <c r="U37" s="30" t="str">
        <f>IF(T37="","",ROUND(T37/Q37*100,2))</f>
        <v/>
      </c>
      <c r="V37" s="8" t="str">
        <f t="shared" si="0"/>
        <v/>
      </c>
      <c r="W37" s="8" t="str">
        <f>IF($V37="Y",1,"")</f>
        <v/>
      </c>
      <c r="X37" s="8" t="str">
        <f>IF($V37="C",1,"")</f>
        <v/>
      </c>
      <c r="Y37" s="8" t="str">
        <f>IF($V37="W",1,"")</f>
        <v/>
      </c>
      <c r="Z37" s="8" t="str">
        <f>IF($V37="D",1,"")</f>
        <v/>
      </c>
    </row>
    <row r="38" spans="1:26" ht="15.75" customHeight="1">
      <c r="A38" s="20">
        <v>9.1300000000000008</v>
      </c>
      <c r="B38" s="20" t="s">
        <v>1498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>
        <f>SUM(Q39)</f>
        <v>10</v>
      </c>
      <c r="R38" s="20"/>
      <c r="S38" s="20"/>
      <c r="T38" s="24">
        <f>SUM(T39)</f>
        <v>0</v>
      </c>
      <c r="U38" s="24" t="str">
        <f>IF(COUNT(T39)=0,"",ROUND(T38/Q38*100,2))</f>
        <v/>
      </c>
      <c r="V38" s="20" t="str">
        <f t="shared" si="0"/>
        <v/>
      </c>
      <c r="W38" s="20">
        <f t="shared" ref="W38:Z38" si="37">SUM(W39)</f>
        <v>0</v>
      </c>
      <c r="X38" s="20">
        <f t="shared" si="37"/>
        <v>0</v>
      </c>
      <c r="Y38" s="20">
        <f t="shared" si="37"/>
        <v>0</v>
      </c>
      <c r="Z38" s="20">
        <f t="shared" si="37"/>
        <v>0</v>
      </c>
    </row>
    <row r="39" spans="1:26" ht="15.75" customHeight="1">
      <c r="A39" s="27" t="s">
        <v>1500</v>
      </c>
      <c r="B39" s="27" t="s">
        <v>1501</v>
      </c>
      <c r="C39" s="27" t="s">
        <v>1501</v>
      </c>
      <c r="D39" s="27" t="s">
        <v>1502</v>
      </c>
      <c r="E39" s="27" t="s">
        <v>880</v>
      </c>
      <c r="F39" s="28">
        <v>0.2</v>
      </c>
      <c r="G39" s="29">
        <v>5</v>
      </c>
      <c r="H39" s="27" t="s">
        <v>1503</v>
      </c>
      <c r="I39" s="27" t="s">
        <v>1504</v>
      </c>
      <c r="J39" s="27" t="s">
        <v>333</v>
      </c>
      <c r="K39" s="27" t="s">
        <v>315</v>
      </c>
      <c r="L39" s="27" t="s">
        <v>295</v>
      </c>
      <c r="M39" s="29"/>
      <c r="N39" s="29"/>
      <c r="O39" s="29"/>
      <c r="P39" s="27" t="s">
        <v>101</v>
      </c>
      <c r="Q39" s="27">
        <v>10</v>
      </c>
      <c r="R39" s="14"/>
      <c r="S39" s="14"/>
      <c r="T39" s="30" t="str">
        <f>IF(OR(S39="",R39="",R39=0),"",ROUND(Q39*MIN(S39/R39,1),2))</f>
        <v/>
      </c>
      <c r="U39" s="30" t="str">
        <f>IF(T39="","",ROUND(T39/Q39*100,2))</f>
        <v/>
      </c>
      <c r="V39" s="8" t="str">
        <f t="shared" si="0"/>
        <v/>
      </c>
      <c r="W39" s="8" t="str">
        <f>IF($V39="Y",1,"")</f>
        <v/>
      </c>
      <c r="X39" s="8" t="str">
        <f>IF($V39="C",1,"")</f>
        <v/>
      </c>
      <c r="Y39" s="8" t="str">
        <f>IF($V39="W",1,"")</f>
        <v/>
      </c>
      <c r="Z39" s="8" t="str">
        <f>IF($V39="D",1,"")</f>
        <v/>
      </c>
    </row>
    <row r="40" spans="1:26" ht="15.75" customHeight="1">
      <c r="A40" s="20">
        <v>9.14</v>
      </c>
      <c r="B40" s="20" t="s">
        <v>1518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>
        <f>SUM(Q41)</f>
        <v>5</v>
      </c>
      <c r="R40" s="20"/>
      <c r="S40" s="20"/>
      <c r="T40" s="24">
        <f>SUM(T41)</f>
        <v>0</v>
      </c>
      <c r="U40" s="24" t="str">
        <f>IF(COUNT(T41)=0,"",ROUND(T40/Q40*100,2))</f>
        <v/>
      </c>
      <c r="V40" s="20" t="str">
        <f t="shared" si="0"/>
        <v/>
      </c>
      <c r="W40" s="20">
        <f t="shared" ref="W40:Z40" si="38">SUM(W41)</f>
        <v>0</v>
      </c>
      <c r="X40" s="20">
        <f t="shared" si="38"/>
        <v>0</v>
      </c>
      <c r="Y40" s="20">
        <f t="shared" si="38"/>
        <v>0</v>
      </c>
      <c r="Z40" s="20">
        <f t="shared" si="38"/>
        <v>0</v>
      </c>
    </row>
    <row r="41" spans="1:26" ht="15.75" customHeight="1">
      <c r="A41" s="27" t="s">
        <v>1519</v>
      </c>
      <c r="B41" s="27" t="s">
        <v>1518</v>
      </c>
      <c r="C41" s="27" t="s">
        <v>1518</v>
      </c>
      <c r="D41" s="27" t="s">
        <v>1520</v>
      </c>
      <c r="E41" s="27" t="s">
        <v>1521</v>
      </c>
      <c r="F41" s="28">
        <v>1</v>
      </c>
      <c r="G41" s="29">
        <v>5</v>
      </c>
      <c r="H41" s="27" t="s">
        <v>1029</v>
      </c>
      <c r="I41" s="27" t="s">
        <v>759</v>
      </c>
      <c r="J41" s="27" t="s">
        <v>760</v>
      </c>
      <c r="K41" s="27" t="s">
        <v>761</v>
      </c>
      <c r="L41" s="27" t="s">
        <v>515</v>
      </c>
      <c r="M41" s="29"/>
      <c r="N41" s="29"/>
      <c r="O41" s="29"/>
      <c r="P41" s="27" t="s">
        <v>263</v>
      </c>
      <c r="Q41" s="27">
        <v>5</v>
      </c>
      <c r="R41" s="14"/>
      <c r="S41" s="14"/>
      <c r="T41" s="30" t="str">
        <f>IF(OR(S41="",R41="",R41=0),"",ROUND(Q41*MIN(S41/R41,1),2))</f>
        <v/>
      </c>
      <c r="U41" s="30" t="str">
        <f>IF(T41="","",ROUND(T41/Q41*100,2))</f>
        <v/>
      </c>
      <c r="V41" s="8" t="str">
        <f t="shared" si="0"/>
        <v/>
      </c>
      <c r="W41" s="8" t="str">
        <f>IF($V41="Y",1,"")</f>
        <v/>
      </c>
      <c r="X41" s="8" t="str">
        <f>IF($V41="C",1,"")</f>
        <v/>
      </c>
      <c r="Y41" s="8" t="str">
        <f>IF($V41="W",1,"")</f>
        <v/>
      </c>
      <c r="Z41" s="8" t="str">
        <f>IF($V41="D",1,"")</f>
        <v/>
      </c>
    </row>
    <row r="42" spans="1:26" ht="15.75" customHeight="1">
      <c r="A42" s="5" t="s">
        <v>72</v>
      </c>
      <c r="B42" s="5" t="s">
        <v>1524</v>
      </c>
      <c r="P42" s="26"/>
      <c r="Q42" s="26">
        <f>Q8+Q10+Q13+Q17+Q20+Q22+Q26+Q28+Q30+Q32+Q34+Q36+Q38+Q40</f>
        <v>120</v>
      </c>
      <c r="R42" s="26"/>
      <c r="S42" s="26"/>
      <c r="T42" s="32">
        <f>T8+T10+T13+T17+T20+T22+T26+T28+T30+T32+T34+T36+T38+T40</f>
        <v>0</v>
      </c>
      <c r="U42" s="32" t="str">
        <f>IF(T42=0,"",ROUND(T42/Q42*100,2))</f>
        <v/>
      </c>
      <c r="V42" s="26" t="str">
        <f t="shared" si="0"/>
        <v/>
      </c>
      <c r="W42" s="26">
        <f t="shared" ref="W42:Z42" si="39">W8+W10+W13+W17+W20+W22+W26+W28+W30+W32+W34+W36+W38+W40</f>
        <v>0</v>
      </c>
      <c r="X42" s="26">
        <f t="shared" si="39"/>
        <v>0</v>
      </c>
      <c r="Y42" s="26">
        <f t="shared" si="39"/>
        <v>0</v>
      </c>
      <c r="Z42" s="26">
        <f t="shared" si="39"/>
        <v>0</v>
      </c>
    </row>
    <row r="43" spans="1:26" ht="15.75" customHeight="1">
      <c r="A43" s="5"/>
      <c r="B43" s="5"/>
      <c r="C43" s="5"/>
      <c r="D43" s="5"/>
      <c r="E43" s="5"/>
      <c r="F43" s="3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34"/>
      <c r="U43" s="34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3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34"/>
      <c r="U44" s="34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3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34"/>
      <c r="U45" s="34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3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34"/>
      <c r="U46" s="34"/>
      <c r="V46" s="5"/>
      <c r="W46" s="5"/>
      <c r="X46" s="5"/>
      <c r="Y46" s="5"/>
      <c r="Z46" s="5"/>
    </row>
    <row r="47" spans="1:26" ht="15.75" customHeight="1">
      <c r="P47" s="5"/>
      <c r="Q47" s="5"/>
      <c r="R47" s="5"/>
      <c r="S47" s="5"/>
      <c r="T47" s="34"/>
      <c r="U47" s="34"/>
      <c r="V47" s="5"/>
      <c r="W47" s="5"/>
      <c r="X47" s="5"/>
      <c r="Y47" s="5"/>
      <c r="Z47" s="5"/>
    </row>
  </sheetData>
  <mergeCells count="4">
    <mergeCell ref="A2:L2"/>
    <mergeCell ref="A3:L3"/>
    <mergeCell ref="A4:L4"/>
    <mergeCell ref="A5:L5"/>
  </mergeCells>
  <conditionalFormatting sqref="V8:V42">
    <cfRule type="cellIs" dxfId="13" priority="1" stopIfTrue="1" operator="equal">
      <formula>0</formula>
    </cfRule>
    <cfRule type="cellIs" dxfId="12" priority="2" stopIfTrue="1" operator="equal">
      <formula>0</formula>
    </cfRule>
    <cfRule type="cellIs" dxfId="11" priority="3" stopIfTrue="1" operator="equal">
      <formula>0</formula>
    </cfRule>
    <cfRule type="cellIs" dxfId="10" priority="4" stopIfTrue="1" operator="equal">
      <formula>0</formula>
    </cfRule>
  </conditionalFormatting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00"/>
  <sheetViews>
    <sheetView workbookViewId="0"/>
  </sheetViews>
  <sheetFormatPr defaultColWidth="14.42578125" defaultRowHeight="15" customHeight="1"/>
  <cols>
    <col min="1" max="1" width="11" customWidth="1"/>
    <col min="2" max="2" width="34" customWidth="1"/>
    <col min="3" max="5" width="12" customWidth="1"/>
    <col min="6" max="7" width="10" customWidth="1"/>
    <col min="8" max="8" width="8" customWidth="1"/>
    <col min="9" max="12" width="9" customWidth="1"/>
    <col min="13" max="13" width="11" customWidth="1"/>
    <col min="14" max="26" width="8.7109375" customWidth="1"/>
  </cols>
  <sheetData>
    <row r="1" spans="1:13" ht="18.75">
      <c r="A1" s="4" t="s">
        <v>1325</v>
      </c>
    </row>
    <row r="2" spans="1:13">
      <c r="A2" s="5" t="e">
        <f>"Institute: "&amp;#REF!&amp;"   |   Department: "&amp;#REF!&amp;"   |   Cycle: "&amp;#REF!&amp;"   |   AY: "&amp;#REF!&amp;" "&amp;#REF!</f>
        <v>#REF!</v>
      </c>
    </row>
    <row r="4" spans="1:13" ht="45">
      <c r="A4" s="6" t="s">
        <v>97</v>
      </c>
      <c r="B4" s="6" t="s">
        <v>1332</v>
      </c>
      <c r="C4" s="6" t="s">
        <v>1333</v>
      </c>
      <c r="D4" s="6" t="s">
        <v>105</v>
      </c>
      <c r="E4" s="6" t="s">
        <v>1334</v>
      </c>
      <c r="F4" s="6" t="s">
        <v>103</v>
      </c>
      <c r="G4" s="6" t="s">
        <v>1335</v>
      </c>
      <c r="H4" s="6" t="s">
        <v>30</v>
      </c>
      <c r="I4" s="6" t="s">
        <v>1336</v>
      </c>
      <c r="J4" s="6" t="s">
        <v>1337</v>
      </c>
      <c r="K4" s="6" t="s">
        <v>1338</v>
      </c>
      <c r="L4" s="6" t="s">
        <v>1339</v>
      </c>
      <c r="M4" s="6" t="s">
        <v>1340</v>
      </c>
    </row>
    <row r="5" spans="1:13">
      <c r="A5" s="8" t="s">
        <v>54</v>
      </c>
      <c r="B5" s="8" t="s">
        <v>108</v>
      </c>
      <c r="C5" s="31" t="e">
        <f>SUMIFS(#REF!,#REF!,$A5,#REF!,"Metric",#REF!,1)</f>
        <v>#REF!</v>
      </c>
      <c r="D5" s="31" t="e">
        <f>SUMIFS(#REF!,#REF!,$A5,#REF!,"Metric")</f>
        <v>#REF!</v>
      </c>
      <c r="E5" s="31" t="e">
        <f>SUMIFS(#REF!,#REF!,$A5,#REF!,"Metric")</f>
        <v>#REF!</v>
      </c>
      <c r="F5" s="15" t="e">
        <f t="shared" ref="F5:F14" si="0">IF(C5=0,"",D5/C5)</f>
        <v>#REF!</v>
      </c>
      <c r="G5" s="15" t="e">
        <f t="shared" ref="G5:G14" si="1">IF(C5=0,"",E5/C5)</f>
        <v>#REF!</v>
      </c>
      <c r="H5" s="8" t="e">
        <f t="shared" ref="H5:H14" si="2">IF(G5="","",IF(G5&gt;YT,"Y",IF(G5&gt;=CT,"C",IF(G5&gt;=WT,"W","D"))))</f>
        <v>#REF!</v>
      </c>
      <c r="I5" s="8" t="e">
        <f>COUNTIFS(#REF!,$A5,#REF!,"Metric",#REF!,"Y")</f>
        <v>#REF!</v>
      </c>
      <c r="J5" s="8" t="e">
        <f>COUNTIFS(#REF!,$A5,#REF!,"Metric",#REF!,"C")</f>
        <v>#REF!</v>
      </c>
      <c r="K5" s="8" t="e">
        <f>COUNTIFS(#REF!,$A5,#REF!,"Metric",#REF!,"W")</f>
        <v>#REF!</v>
      </c>
      <c r="L5" s="8" t="e">
        <f>COUNTIFS(#REF!,$A5,#REF!,"Metric",#REF!,"D")</f>
        <v>#REF!</v>
      </c>
      <c r="M5" s="8" t="e">
        <f>COUNTIFS(#REF!,$A5,#REF!,"Metric",#REF!,1,#REF!,"")</f>
        <v>#REF!</v>
      </c>
    </row>
    <row r="6" spans="1:13">
      <c r="A6" s="8" t="s">
        <v>65</v>
      </c>
      <c r="B6" s="8" t="s">
        <v>455</v>
      </c>
      <c r="C6" s="31" t="e">
        <f>SUMIFS(#REF!,#REF!,$A6,#REF!,"Metric",#REF!,1)</f>
        <v>#REF!</v>
      </c>
      <c r="D6" s="31" t="e">
        <f>SUMIFS(#REF!,#REF!,$A6,#REF!,"Metric")</f>
        <v>#REF!</v>
      </c>
      <c r="E6" s="31" t="e">
        <f>SUMIFS(#REF!,#REF!,$A6,#REF!,"Metric")</f>
        <v>#REF!</v>
      </c>
      <c r="F6" s="15" t="e">
        <f t="shared" si="0"/>
        <v>#REF!</v>
      </c>
      <c r="G6" s="15" t="e">
        <f t="shared" si="1"/>
        <v>#REF!</v>
      </c>
      <c r="H6" s="8" t="e">
        <f t="shared" si="2"/>
        <v>#REF!</v>
      </c>
      <c r="I6" s="8" t="e">
        <f>COUNTIFS(#REF!,$A6,#REF!,"Metric",#REF!,"Y")</f>
        <v>#REF!</v>
      </c>
      <c r="J6" s="8" t="e">
        <f>COUNTIFS(#REF!,$A6,#REF!,"Metric",#REF!,"C")</f>
        <v>#REF!</v>
      </c>
      <c r="K6" s="8" t="e">
        <f>COUNTIFS(#REF!,$A6,#REF!,"Metric",#REF!,"W")</f>
        <v>#REF!</v>
      </c>
      <c r="L6" s="8" t="e">
        <f>COUNTIFS(#REF!,$A6,#REF!,"Metric",#REF!,"D")</f>
        <v>#REF!</v>
      </c>
      <c r="M6" s="8" t="e">
        <f>COUNTIFS(#REF!,$A6,#REF!,"Metric",#REF!,1,#REF!,"")</f>
        <v>#REF!</v>
      </c>
    </row>
    <row r="7" spans="1:13">
      <c r="A7" s="8" t="s">
        <v>66</v>
      </c>
      <c r="B7" s="8" t="s">
        <v>581</v>
      </c>
      <c r="C7" s="31" t="e">
        <f>SUMIFS(#REF!,#REF!,$A7,#REF!,"Metric",#REF!,1)</f>
        <v>#REF!</v>
      </c>
      <c r="D7" s="31" t="e">
        <f>SUMIFS(#REF!,#REF!,$A7,#REF!,"Metric")</f>
        <v>#REF!</v>
      </c>
      <c r="E7" s="31" t="e">
        <f>SUMIFS(#REF!,#REF!,$A7,#REF!,"Metric")</f>
        <v>#REF!</v>
      </c>
      <c r="F7" s="15" t="e">
        <f t="shared" si="0"/>
        <v>#REF!</v>
      </c>
      <c r="G7" s="15" t="e">
        <f t="shared" si="1"/>
        <v>#REF!</v>
      </c>
      <c r="H7" s="8" t="e">
        <f t="shared" si="2"/>
        <v>#REF!</v>
      </c>
      <c r="I7" s="8" t="e">
        <f>COUNTIFS(#REF!,$A7,#REF!,"Metric",#REF!,"Y")</f>
        <v>#REF!</v>
      </c>
      <c r="J7" s="8" t="e">
        <f>COUNTIFS(#REF!,$A7,#REF!,"Metric",#REF!,"C")</f>
        <v>#REF!</v>
      </c>
      <c r="K7" s="8" t="e">
        <f>COUNTIFS(#REF!,$A7,#REF!,"Metric",#REF!,"W")</f>
        <v>#REF!</v>
      </c>
      <c r="L7" s="8" t="e">
        <f>COUNTIFS(#REF!,$A7,#REF!,"Metric",#REF!,"D")</f>
        <v>#REF!</v>
      </c>
      <c r="M7" s="8" t="e">
        <f>COUNTIFS(#REF!,$A7,#REF!,"Metric",#REF!,1,#REF!,"")</f>
        <v>#REF!</v>
      </c>
    </row>
    <row r="8" spans="1:13">
      <c r="A8" s="8" t="s">
        <v>67</v>
      </c>
      <c r="B8" s="8" t="s">
        <v>831</v>
      </c>
      <c r="C8" s="31" t="e">
        <f>SUMIFS(#REF!,#REF!,$A8,#REF!,"Metric",#REF!,1)</f>
        <v>#REF!</v>
      </c>
      <c r="D8" s="31" t="e">
        <f>SUMIFS(#REF!,#REF!,$A8,#REF!,"Metric")</f>
        <v>#REF!</v>
      </c>
      <c r="E8" s="31" t="e">
        <f>SUMIFS(#REF!,#REF!,$A8,#REF!,"Metric")</f>
        <v>#REF!</v>
      </c>
      <c r="F8" s="15" t="e">
        <f t="shared" si="0"/>
        <v>#REF!</v>
      </c>
      <c r="G8" s="15" t="e">
        <f t="shared" si="1"/>
        <v>#REF!</v>
      </c>
      <c r="H8" s="8" t="e">
        <f t="shared" si="2"/>
        <v>#REF!</v>
      </c>
      <c r="I8" s="8" t="e">
        <f>COUNTIFS(#REF!,$A8,#REF!,"Metric",#REF!,"Y")</f>
        <v>#REF!</v>
      </c>
      <c r="J8" s="8" t="e">
        <f>COUNTIFS(#REF!,$A8,#REF!,"Metric",#REF!,"C")</f>
        <v>#REF!</v>
      </c>
      <c r="K8" s="8" t="e">
        <f>COUNTIFS(#REF!,$A8,#REF!,"Metric",#REF!,"W")</f>
        <v>#REF!</v>
      </c>
      <c r="L8" s="8" t="e">
        <f>COUNTIFS(#REF!,$A8,#REF!,"Metric",#REF!,"D")</f>
        <v>#REF!</v>
      </c>
      <c r="M8" s="8" t="e">
        <f>COUNTIFS(#REF!,$A8,#REF!,"Metric",#REF!,1,#REF!,"")</f>
        <v>#REF!</v>
      </c>
    </row>
    <row r="9" spans="1:13">
      <c r="A9" s="8" t="s">
        <v>68</v>
      </c>
      <c r="B9" s="8" t="s">
        <v>999</v>
      </c>
      <c r="C9" s="31" t="e">
        <f>SUMIFS(#REF!,#REF!,$A9,#REF!,"Metric",#REF!,1)</f>
        <v>#REF!</v>
      </c>
      <c r="D9" s="31" t="e">
        <f>SUMIFS(#REF!,#REF!,$A9,#REF!,"Metric")</f>
        <v>#REF!</v>
      </c>
      <c r="E9" s="31" t="e">
        <f>SUMIFS(#REF!,#REF!,$A9,#REF!,"Metric")</f>
        <v>#REF!</v>
      </c>
      <c r="F9" s="15" t="e">
        <f t="shared" si="0"/>
        <v>#REF!</v>
      </c>
      <c r="G9" s="15" t="e">
        <f t="shared" si="1"/>
        <v>#REF!</v>
      </c>
      <c r="H9" s="8" t="e">
        <f t="shared" si="2"/>
        <v>#REF!</v>
      </c>
      <c r="I9" s="8" t="e">
        <f>COUNTIFS(#REF!,$A9,#REF!,"Metric",#REF!,"Y")</f>
        <v>#REF!</v>
      </c>
      <c r="J9" s="8" t="e">
        <f>COUNTIFS(#REF!,$A9,#REF!,"Metric",#REF!,"C")</f>
        <v>#REF!</v>
      </c>
      <c r="K9" s="8" t="e">
        <f>COUNTIFS(#REF!,$A9,#REF!,"Metric",#REF!,"W")</f>
        <v>#REF!</v>
      </c>
      <c r="L9" s="8" t="e">
        <f>COUNTIFS(#REF!,$A9,#REF!,"Metric",#REF!,"D")</f>
        <v>#REF!</v>
      </c>
      <c r="M9" s="8" t="e">
        <f>COUNTIFS(#REF!,$A9,#REF!,"Metric",#REF!,1,#REF!,"")</f>
        <v>#REF!</v>
      </c>
    </row>
    <row r="10" spans="1:13">
      <c r="A10" s="8" t="s">
        <v>69</v>
      </c>
      <c r="B10" s="8" t="s">
        <v>1156</v>
      </c>
      <c r="C10" s="31" t="e">
        <f>SUMIFS(#REF!,#REF!,$A10,#REF!,"Metric",#REF!,1)</f>
        <v>#REF!</v>
      </c>
      <c r="D10" s="31" t="e">
        <f>SUMIFS(#REF!,#REF!,$A10,#REF!,"Metric")</f>
        <v>#REF!</v>
      </c>
      <c r="E10" s="31" t="e">
        <f>SUMIFS(#REF!,#REF!,$A10,#REF!,"Metric")</f>
        <v>#REF!</v>
      </c>
      <c r="F10" s="15" t="e">
        <f t="shared" si="0"/>
        <v>#REF!</v>
      </c>
      <c r="G10" s="15" t="e">
        <f t="shared" si="1"/>
        <v>#REF!</v>
      </c>
      <c r="H10" s="8" t="e">
        <f t="shared" si="2"/>
        <v>#REF!</v>
      </c>
      <c r="I10" s="8" t="e">
        <f>COUNTIFS(#REF!,$A10,#REF!,"Metric",#REF!,"Y")</f>
        <v>#REF!</v>
      </c>
      <c r="J10" s="8" t="e">
        <f>COUNTIFS(#REF!,$A10,#REF!,"Metric",#REF!,"C")</f>
        <v>#REF!</v>
      </c>
      <c r="K10" s="8" t="e">
        <f>COUNTIFS(#REF!,$A10,#REF!,"Metric",#REF!,"W")</f>
        <v>#REF!</v>
      </c>
      <c r="L10" s="8" t="e">
        <f>COUNTIFS(#REF!,$A10,#REF!,"Metric",#REF!,"D")</f>
        <v>#REF!</v>
      </c>
      <c r="M10" s="8" t="e">
        <f>COUNTIFS(#REF!,$A10,#REF!,"Metric",#REF!,1,#REF!,"")</f>
        <v>#REF!</v>
      </c>
    </row>
    <row r="11" spans="1:13">
      <c r="A11" s="8" t="s">
        <v>70</v>
      </c>
      <c r="B11" s="8" t="s">
        <v>1384</v>
      </c>
      <c r="C11" s="31" t="e">
        <f>SUMIFS(#REF!,#REF!,$A11,#REF!,"Metric",#REF!,1)</f>
        <v>#REF!</v>
      </c>
      <c r="D11" s="31" t="e">
        <f>SUMIFS(#REF!,#REF!,$A11,#REF!,"Metric")</f>
        <v>#REF!</v>
      </c>
      <c r="E11" s="31" t="e">
        <f>SUMIFS(#REF!,#REF!,$A11,#REF!,"Metric")</f>
        <v>#REF!</v>
      </c>
      <c r="F11" s="15" t="e">
        <f t="shared" si="0"/>
        <v>#REF!</v>
      </c>
      <c r="G11" s="15" t="e">
        <f t="shared" si="1"/>
        <v>#REF!</v>
      </c>
      <c r="H11" s="8" t="e">
        <f t="shared" si="2"/>
        <v>#REF!</v>
      </c>
      <c r="I11" s="8" t="e">
        <f>COUNTIFS(#REF!,$A11,#REF!,"Metric",#REF!,"Y")</f>
        <v>#REF!</v>
      </c>
      <c r="J11" s="8" t="e">
        <f>COUNTIFS(#REF!,$A11,#REF!,"Metric",#REF!,"C")</f>
        <v>#REF!</v>
      </c>
      <c r="K11" s="8" t="e">
        <f>COUNTIFS(#REF!,$A11,#REF!,"Metric",#REF!,"W")</f>
        <v>#REF!</v>
      </c>
      <c r="L11" s="8" t="e">
        <f>COUNTIFS(#REF!,$A11,#REF!,"Metric",#REF!,"D")</f>
        <v>#REF!</v>
      </c>
      <c r="M11" s="8" t="e">
        <f>COUNTIFS(#REF!,$A11,#REF!,"Metric",#REF!,1,#REF!,"")</f>
        <v>#REF!</v>
      </c>
    </row>
    <row r="12" spans="1:13">
      <c r="A12" s="8" t="s">
        <v>71</v>
      </c>
      <c r="B12" s="8" t="s">
        <v>1393</v>
      </c>
      <c r="C12" s="31" t="e">
        <f>SUMIFS(#REF!,#REF!,$A12,#REF!,"Metric",#REF!,1)</f>
        <v>#REF!</v>
      </c>
      <c r="D12" s="31" t="e">
        <f>SUMIFS(#REF!,#REF!,$A12,#REF!,"Metric")</f>
        <v>#REF!</v>
      </c>
      <c r="E12" s="31" t="e">
        <f>SUMIFS(#REF!,#REF!,$A12,#REF!,"Metric")</f>
        <v>#REF!</v>
      </c>
      <c r="F12" s="15" t="e">
        <f t="shared" si="0"/>
        <v>#REF!</v>
      </c>
      <c r="G12" s="15" t="e">
        <f t="shared" si="1"/>
        <v>#REF!</v>
      </c>
      <c r="H12" s="8" t="e">
        <f t="shared" si="2"/>
        <v>#REF!</v>
      </c>
      <c r="I12" s="8" t="e">
        <f>COUNTIFS(#REF!,$A12,#REF!,"Metric",#REF!,"Y")</f>
        <v>#REF!</v>
      </c>
      <c r="J12" s="8" t="e">
        <f>COUNTIFS(#REF!,$A12,#REF!,"Metric",#REF!,"C")</f>
        <v>#REF!</v>
      </c>
      <c r="K12" s="8" t="e">
        <f>COUNTIFS(#REF!,$A12,#REF!,"Metric",#REF!,"W")</f>
        <v>#REF!</v>
      </c>
      <c r="L12" s="8" t="e">
        <f>COUNTIFS(#REF!,$A12,#REF!,"Metric",#REF!,"D")</f>
        <v>#REF!</v>
      </c>
      <c r="M12" s="8" t="e">
        <f>COUNTIFS(#REF!,$A12,#REF!,"Metric",#REF!,1,#REF!,"")</f>
        <v>#REF!</v>
      </c>
    </row>
    <row r="13" spans="1:13">
      <c r="A13" s="8" t="s">
        <v>72</v>
      </c>
      <c r="B13" s="8" t="s">
        <v>1401</v>
      </c>
      <c r="C13" s="31" t="e">
        <f>SUMIFS(#REF!,#REF!,$A13,#REF!,"Metric",#REF!,1)</f>
        <v>#REF!</v>
      </c>
      <c r="D13" s="31" t="e">
        <f>SUMIFS(#REF!,#REF!,$A13,#REF!,"Metric")</f>
        <v>#REF!</v>
      </c>
      <c r="E13" s="31" t="e">
        <f>SUMIFS(#REF!,#REF!,$A13,#REF!,"Metric")</f>
        <v>#REF!</v>
      </c>
      <c r="F13" s="15" t="e">
        <f t="shared" si="0"/>
        <v>#REF!</v>
      </c>
      <c r="G13" s="15" t="e">
        <f t="shared" si="1"/>
        <v>#REF!</v>
      </c>
      <c r="H13" s="8" t="e">
        <f t="shared" si="2"/>
        <v>#REF!</v>
      </c>
      <c r="I13" s="8" t="e">
        <f>COUNTIFS(#REF!,$A13,#REF!,"Metric",#REF!,"Y")</f>
        <v>#REF!</v>
      </c>
      <c r="J13" s="8" t="e">
        <f>COUNTIFS(#REF!,$A13,#REF!,"Metric",#REF!,"C")</f>
        <v>#REF!</v>
      </c>
      <c r="K13" s="8" t="e">
        <f>COUNTIFS(#REF!,$A13,#REF!,"Metric",#REF!,"W")</f>
        <v>#REF!</v>
      </c>
      <c r="L13" s="8" t="e">
        <f>COUNTIFS(#REF!,$A13,#REF!,"Metric",#REF!,"D")</f>
        <v>#REF!</v>
      </c>
      <c r="M13" s="8" t="e">
        <f>COUNTIFS(#REF!,$A13,#REF!,"Metric",#REF!,1,#REF!,"")</f>
        <v>#REF!</v>
      </c>
    </row>
    <row r="14" spans="1:13">
      <c r="A14" s="36" t="s">
        <v>1408</v>
      </c>
      <c r="B14" s="8"/>
      <c r="C14" s="37" t="e">
        <f t="shared" ref="C14:E14" si="3">SUM(C5:C13)</f>
        <v>#REF!</v>
      </c>
      <c r="D14" s="37" t="e">
        <f t="shared" si="3"/>
        <v>#REF!</v>
      </c>
      <c r="E14" s="37" t="e">
        <f t="shared" si="3"/>
        <v>#REF!</v>
      </c>
      <c r="F14" s="15" t="e">
        <f t="shared" si="0"/>
        <v>#REF!</v>
      </c>
      <c r="G14" s="15" t="e">
        <f t="shared" si="1"/>
        <v>#REF!</v>
      </c>
      <c r="H14" s="8" t="e">
        <f t="shared" si="2"/>
        <v>#REF!</v>
      </c>
      <c r="I14" s="36" t="e">
        <f t="shared" ref="I14:M14" si="4">SUM(I5:I13)</f>
        <v>#REF!</v>
      </c>
      <c r="J14" s="36" t="e">
        <f t="shared" si="4"/>
        <v>#REF!</v>
      </c>
      <c r="K14" s="36" t="e">
        <f t="shared" si="4"/>
        <v>#REF!</v>
      </c>
      <c r="L14" s="36" t="e">
        <f t="shared" si="4"/>
        <v>#REF!</v>
      </c>
      <c r="M14" s="36" t="e">
        <f t="shared" si="4"/>
        <v>#REF!</v>
      </c>
    </row>
    <row r="17" spans="1:3">
      <c r="A17" s="47" t="s">
        <v>76</v>
      </c>
      <c r="B17" s="42"/>
      <c r="C17" s="5">
        <f>COUNTIF(H5:H13,"Y")</f>
        <v>0</v>
      </c>
    </row>
    <row r="18" spans="1:3">
      <c r="A18" s="47" t="s">
        <v>77</v>
      </c>
      <c r="B18" s="42"/>
      <c r="C18" s="5">
        <f>COUNTIF(H5:H13,"C")</f>
        <v>0</v>
      </c>
    </row>
    <row r="19" spans="1:3">
      <c r="A19" s="47" t="s">
        <v>78</v>
      </c>
      <c r="B19" s="42"/>
      <c r="C19" s="5">
        <f>COUNTIF(H5:H13,"W")</f>
        <v>0</v>
      </c>
    </row>
    <row r="20" spans="1:3">
      <c r="A20" s="47" t="s">
        <v>79</v>
      </c>
      <c r="B20" s="42"/>
      <c r="C20" s="5">
        <f>COUNTIF(H5:H13,"D")</f>
        <v>0</v>
      </c>
    </row>
    <row r="21" spans="1:3" ht="15.75" customHeight="1">
      <c r="A21" s="47" t="s">
        <v>1412</v>
      </c>
      <c r="B21" s="42"/>
      <c r="C21" s="38" t="e">
        <f>IF(OR(F14="",G14=""),"",F14-G14)</f>
        <v>#REF!</v>
      </c>
    </row>
    <row r="22" spans="1:3" ht="15.75" customHeight="1">
      <c r="A22" s="41" t="s">
        <v>1413</v>
      </c>
      <c r="B22" s="42"/>
      <c r="C22" s="7" t="str">
        <f>IF(SUM(C17:C20)=0,"Not yet scored",IF(C20&gt;0,"Critical - criteria at D need immediate action",IF(C19&gt;0,"Improvement needed - criteria at W","On track - all criteria at C or above")))</f>
        <v>Not yet scored</v>
      </c>
    </row>
    <row r="23" spans="1:3" ht="15.75" customHeight="1"/>
    <row r="24" spans="1:3" ht="15.75" customHeight="1"/>
    <row r="25" spans="1:3" ht="15.75" customHeight="1">
      <c r="A25" s="7" t="s">
        <v>1416</v>
      </c>
    </row>
    <row r="26" spans="1:3" ht="15.75" customHeight="1">
      <c r="A26" s="47" t="s">
        <v>1417</v>
      </c>
      <c r="B26" s="42"/>
      <c r="C26" s="5" t="s">
        <v>1418</v>
      </c>
    </row>
    <row r="27" spans="1:3" ht="15.75" customHeight="1">
      <c r="A27" s="47" t="s">
        <v>1419</v>
      </c>
      <c r="B27" s="42"/>
      <c r="C27" s="5" t="s">
        <v>1418</v>
      </c>
    </row>
    <row r="28" spans="1:3" ht="15.75" customHeight="1">
      <c r="A28" s="47" t="s">
        <v>1420</v>
      </c>
      <c r="B28" s="42"/>
      <c r="C28" s="5" t="s">
        <v>1418</v>
      </c>
    </row>
    <row r="29" spans="1:3" ht="15.75" customHeight="1">
      <c r="A29" s="47" t="s">
        <v>1421</v>
      </c>
      <c r="B29" s="42"/>
      <c r="C29" s="5" t="s">
        <v>1418</v>
      </c>
    </row>
    <row r="30" spans="1:3" ht="15.75" customHeight="1">
      <c r="A30" s="47" t="s">
        <v>1422</v>
      </c>
      <c r="B30" s="42"/>
      <c r="C30" s="5" t="s">
        <v>1418</v>
      </c>
    </row>
    <row r="31" spans="1:3" ht="15.75" customHeight="1"/>
    <row r="32" spans="1:3" ht="15.75" customHeight="1">
      <c r="A32" s="7" t="s">
        <v>1423</v>
      </c>
    </row>
    <row r="33" spans="1:10" ht="15.75" customHeight="1">
      <c r="A33" s="6" t="s">
        <v>97</v>
      </c>
      <c r="B33" s="6" t="s">
        <v>1332</v>
      </c>
      <c r="C33" s="6" t="s">
        <v>31</v>
      </c>
      <c r="D33" s="6" t="s">
        <v>35</v>
      </c>
      <c r="E33" s="6" t="s">
        <v>36</v>
      </c>
      <c r="F33" s="6" t="s">
        <v>30</v>
      </c>
      <c r="G33" s="6" t="s">
        <v>1336</v>
      </c>
      <c r="H33" s="6" t="s">
        <v>1337</v>
      </c>
      <c r="I33" s="6" t="s">
        <v>1338</v>
      </c>
      <c r="J33" s="6" t="s">
        <v>1339</v>
      </c>
    </row>
    <row r="34" spans="1:10" ht="15.75" customHeight="1">
      <c r="A34" s="8" t="s">
        <v>54</v>
      </c>
      <c r="B34" s="8" t="s">
        <v>108</v>
      </c>
      <c r="C34" s="8" t="e">
        <f>'[1]C1 Quantitative'!E35</f>
        <v>#REF!</v>
      </c>
      <c r="D34" s="30" t="s">
        <v>1718</v>
      </c>
      <c r="E34" s="30" t="s">
        <v>1718</v>
      </c>
      <c r="F34" s="8" t="s">
        <v>1718</v>
      </c>
      <c r="G34" s="8" t="s">
        <v>1718</v>
      </c>
      <c r="H34" s="8" t="s">
        <v>1718</v>
      </c>
      <c r="I34" s="8" t="s">
        <v>1718</v>
      </c>
      <c r="J34" s="8" t="s">
        <v>1718</v>
      </c>
    </row>
    <row r="35" spans="1:10" ht="15.75" customHeight="1">
      <c r="A35" s="8" t="s">
        <v>65</v>
      </c>
      <c r="B35" s="8" t="s">
        <v>455</v>
      </c>
      <c r="C35" s="8" t="e">
        <f>'[2]C2 Quantitative'!E44</f>
        <v>#REF!</v>
      </c>
      <c r="D35" s="30" t="s">
        <v>1718</v>
      </c>
      <c r="E35" s="30" t="s">
        <v>1718</v>
      </c>
      <c r="F35" s="8" t="s">
        <v>1718</v>
      </c>
      <c r="G35" s="8" t="s">
        <v>1718</v>
      </c>
      <c r="H35" s="8" t="s">
        <v>1718</v>
      </c>
      <c r="I35" s="8" t="s">
        <v>1718</v>
      </c>
      <c r="J35" s="8" t="s">
        <v>1718</v>
      </c>
    </row>
    <row r="36" spans="1:10" ht="15.75" customHeight="1">
      <c r="A36" s="8" t="s">
        <v>66</v>
      </c>
      <c r="B36" s="8" t="s">
        <v>581</v>
      </c>
      <c r="C36" s="8" t="e">
        <f>'[3]C3 Quantitative'!E33</f>
        <v>#REF!</v>
      </c>
      <c r="D36" s="30" t="s">
        <v>1718</v>
      </c>
      <c r="E36" s="30" t="s">
        <v>1718</v>
      </c>
      <c r="F36" s="8" t="s">
        <v>1718</v>
      </c>
      <c r="G36" s="8" t="s">
        <v>1718</v>
      </c>
      <c r="H36" s="8" t="s">
        <v>1718</v>
      </c>
      <c r="I36" s="8" t="s">
        <v>1718</v>
      </c>
      <c r="J36" s="8" t="s">
        <v>1718</v>
      </c>
    </row>
    <row r="37" spans="1:10" ht="15.75" customHeight="1">
      <c r="A37" s="8" t="s">
        <v>67</v>
      </c>
      <c r="B37" s="8" t="s">
        <v>831</v>
      </c>
      <c r="C37" s="8" t="e">
        <f>'[4]C4 Quantitative'!E30</f>
        <v>#REF!</v>
      </c>
      <c r="D37" s="30" t="s">
        <v>1718</v>
      </c>
      <c r="E37" s="30" t="s">
        <v>1718</v>
      </c>
      <c r="F37" s="8" t="s">
        <v>1718</v>
      </c>
      <c r="G37" s="8" t="s">
        <v>1718</v>
      </c>
      <c r="H37" s="8" t="s">
        <v>1718</v>
      </c>
      <c r="I37" s="8" t="s">
        <v>1718</v>
      </c>
      <c r="J37" s="8" t="s">
        <v>1718</v>
      </c>
    </row>
    <row r="38" spans="1:10" ht="15.75" customHeight="1">
      <c r="A38" s="8" t="s">
        <v>68</v>
      </c>
      <c r="B38" s="8" t="s">
        <v>999</v>
      </c>
      <c r="C38" s="8" t="e">
        <f>'[5]C5 Quantitative'!E18</f>
        <v>#REF!</v>
      </c>
      <c r="D38" s="30" t="s">
        <v>1718</v>
      </c>
      <c r="E38" s="30" t="s">
        <v>1718</v>
      </c>
      <c r="F38" s="8" t="s">
        <v>1718</v>
      </c>
      <c r="G38" s="8" t="s">
        <v>1718</v>
      </c>
      <c r="H38" s="8" t="s">
        <v>1718</v>
      </c>
      <c r="I38" s="8" t="s">
        <v>1718</v>
      </c>
      <c r="J38" s="8" t="s">
        <v>1718</v>
      </c>
    </row>
    <row r="39" spans="1:10" ht="15.75" customHeight="1">
      <c r="A39" s="8" t="s">
        <v>69</v>
      </c>
      <c r="B39" s="8" t="s">
        <v>1156</v>
      </c>
      <c r="C39" s="8" t="e">
        <f>'[6]C6 Quantitative'!E22</f>
        <v>#REF!</v>
      </c>
      <c r="D39" s="30" t="s">
        <v>1718</v>
      </c>
      <c r="E39" s="30" t="s">
        <v>1718</v>
      </c>
      <c r="F39" s="8" t="s">
        <v>1718</v>
      </c>
      <c r="G39" s="8" t="s">
        <v>1718</v>
      </c>
      <c r="H39" s="8" t="s">
        <v>1718</v>
      </c>
      <c r="I39" s="8" t="s">
        <v>1718</v>
      </c>
      <c r="J39" s="8" t="s">
        <v>1718</v>
      </c>
    </row>
    <row r="40" spans="1:10" ht="15.75" customHeight="1">
      <c r="A40" s="8" t="s">
        <v>70</v>
      </c>
      <c r="B40" s="8" t="s">
        <v>1384</v>
      </c>
      <c r="C40" s="8" t="e">
        <f>'[7]C7 Quantitative'!E22</f>
        <v>#REF!</v>
      </c>
      <c r="D40" s="30" t="s">
        <v>1718</v>
      </c>
      <c r="E40" s="30" t="s">
        <v>1718</v>
      </c>
      <c r="F40" s="8" t="s">
        <v>1718</v>
      </c>
      <c r="G40" s="8" t="s">
        <v>1718</v>
      </c>
      <c r="H40" s="8" t="s">
        <v>1718</v>
      </c>
      <c r="I40" s="8" t="s">
        <v>1718</v>
      </c>
      <c r="J40" s="8" t="s">
        <v>1718</v>
      </c>
    </row>
    <row r="41" spans="1:10" ht="15.75" customHeight="1">
      <c r="A41" s="8" t="s">
        <v>71</v>
      </c>
      <c r="B41" s="8" t="s">
        <v>1393</v>
      </c>
      <c r="C41" s="8" t="e">
        <f>'[8]C8 Quantitative'!E19</f>
        <v>#REF!</v>
      </c>
      <c r="D41" s="30" t="s">
        <v>1718</v>
      </c>
      <c r="E41" s="30" t="s">
        <v>1718</v>
      </c>
      <c r="F41" s="8" t="s">
        <v>1718</v>
      </c>
      <c r="G41" s="8" t="s">
        <v>1718</v>
      </c>
      <c r="H41" s="8" t="s">
        <v>1718</v>
      </c>
      <c r="I41" s="8" t="s">
        <v>1718</v>
      </c>
      <c r="J41" s="8" t="s">
        <v>1718</v>
      </c>
    </row>
    <row r="42" spans="1:10" ht="15.75" customHeight="1">
      <c r="A42" s="8" t="s">
        <v>72</v>
      </c>
      <c r="B42" s="8" t="s">
        <v>1401</v>
      </c>
      <c r="C42" s="8" t="e">
        <f>'[9]C9 Quantitative'!E39</f>
        <v>#REF!</v>
      </c>
      <c r="D42" s="30" t="s">
        <v>1718</v>
      </c>
      <c r="E42" s="30" t="s">
        <v>1718</v>
      </c>
      <c r="F42" s="8" t="s">
        <v>1718</v>
      </c>
      <c r="G42" s="8" t="s">
        <v>1718</v>
      </c>
      <c r="H42" s="8" t="s">
        <v>1718</v>
      </c>
      <c r="I42" s="8" t="s">
        <v>1718</v>
      </c>
      <c r="J42" s="8" t="s">
        <v>1718</v>
      </c>
    </row>
    <row r="43" spans="1:10" ht="15.75" customHeight="1">
      <c r="A43" s="26" t="s">
        <v>1408</v>
      </c>
      <c r="B43" s="26"/>
      <c r="C43" s="26" t="e">
        <f t="shared" ref="C43:D43" si="5">SUM(C34:C42)</f>
        <v>#REF!</v>
      </c>
      <c r="D43" s="32">
        <f t="shared" si="5"/>
        <v>0</v>
      </c>
      <c r="E43" s="32" t="e">
        <f>IF(C43=0,"",ROUND(D43/C43*100,2))</f>
        <v>#REF!</v>
      </c>
      <c r="F43" s="26" t="e">
        <f>IF(E43="","",IF(E43&gt;YT*100,"Y",IF(E43&gt;=CT*100,"C",IF(E43&gt;=WT*100,"W","D"))))</f>
        <v>#REF!</v>
      </c>
      <c r="G43" s="26">
        <f t="shared" ref="G43:J43" si="6">SUM(G34:G42)</f>
        <v>0</v>
      </c>
      <c r="H43" s="26">
        <f t="shared" si="6"/>
        <v>0</v>
      </c>
      <c r="I43" s="26">
        <f t="shared" si="6"/>
        <v>0</v>
      </c>
      <c r="J43" s="26">
        <f t="shared" si="6"/>
        <v>0</v>
      </c>
    </row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A26:B26"/>
  </mergeCells>
  <conditionalFormatting sqref="F34:F43">
    <cfRule type="cellIs" dxfId="9" priority="5" operator="equal">
      <formula>"Y"</formula>
    </cfRule>
    <cfRule type="cellIs" dxfId="8" priority="6" operator="equal">
      <formula>"C"</formula>
    </cfRule>
    <cfRule type="cellIs" dxfId="7" priority="7" operator="equal">
      <formula>"W"</formula>
    </cfRule>
    <cfRule type="cellIs" dxfId="6" priority="8" operator="equal">
      <formula>"D"</formula>
    </cfRule>
  </conditionalFormatting>
  <conditionalFormatting sqref="H5:H14">
    <cfRule type="cellIs" dxfId="5" priority="1" operator="equal">
      <formula>"Y"</formula>
    </cfRule>
    <cfRule type="cellIs" dxfId="4" priority="2" operator="equal">
      <formula>"C"</formula>
    </cfRule>
    <cfRule type="cellIs" dxfId="3" priority="3" operator="equal">
      <formula>"W"</formula>
    </cfRule>
    <cfRule type="cellIs" dxfId="2" priority="4" operator="equal">
      <formula>"D"</formula>
    </cfRule>
  </conditionalFormatting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/>
  <cols>
    <col min="1" max="1" width="14" customWidth="1"/>
    <col min="2" max="2" width="10" customWidth="1"/>
    <col min="3" max="3" width="12" customWidth="1"/>
    <col min="4" max="4" width="24" customWidth="1"/>
    <col min="5" max="6" width="10" customWidth="1"/>
    <col min="7" max="7" width="24" customWidth="1"/>
    <col min="8" max="9" width="10" customWidth="1"/>
    <col min="10" max="10" width="36" customWidth="1"/>
    <col min="11" max="13" width="13" customWidth="1"/>
    <col min="14" max="14" width="18" customWidth="1"/>
    <col min="15" max="26" width="8.7109375" customWidth="1"/>
  </cols>
  <sheetData>
    <row r="1" spans="1:14" ht="18.75">
      <c r="A1" s="4" t="s">
        <v>1505</v>
      </c>
    </row>
    <row r="2" spans="1:14">
      <c r="A2" s="5" t="s">
        <v>1506</v>
      </c>
    </row>
    <row r="4" spans="1:14" ht="30">
      <c r="A4" s="6" t="s">
        <v>60</v>
      </c>
      <c r="B4" s="6" t="s">
        <v>1507</v>
      </c>
      <c r="C4" s="6" t="s">
        <v>1508</v>
      </c>
      <c r="D4" s="6" t="s">
        <v>1417</v>
      </c>
      <c r="E4" s="6" t="s">
        <v>1509</v>
      </c>
      <c r="F4" s="6" t="s">
        <v>1510</v>
      </c>
      <c r="G4" s="6" t="s">
        <v>1419</v>
      </c>
      <c r="H4" s="6" t="s">
        <v>1511</v>
      </c>
      <c r="I4" s="6" t="s">
        <v>1512</v>
      </c>
      <c r="J4" s="6" t="s">
        <v>1513</v>
      </c>
      <c r="K4" s="6" t="s">
        <v>1514</v>
      </c>
      <c r="L4" s="6" t="s">
        <v>1515</v>
      </c>
      <c r="M4" s="6" t="s">
        <v>1516</v>
      </c>
      <c r="N4" s="6" t="s">
        <v>1517</v>
      </c>
    </row>
    <row r="5" spans="1:14">
      <c r="A5" s="5" t="s">
        <v>37</v>
      </c>
      <c r="B5" s="5" t="s">
        <v>34</v>
      </c>
      <c r="C5" s="5" t="s">
        <v>82</v>
      </c>
      <c r="D5" s="14"/>
      <c r="E5" s="5" t="str">
        <f t="array" ref="E5">IF(D5="","",IFERROR(INDEX('Auditor Pool'!$B$4:$B$71,MATCH(D5,'Auditor Pool'!$D$4:$D$71,0)),"Not in pool"))</f>
        <v/>
      </c>
      <c r="F5" s="5" t="str">
        <f t="array" ref="F5">IF(D5="","",IFERROR(INDEX('Auditor Pool'!$C$4:$C$71,MATCH(D5,'Auditor Pool'!$D$4:$D$71,0)),"Not in pool"))</f>
        <v/>
      </c>
      <c r="G5" s="14"/>
      <c r="H5" s="5" t="str">
        <f t="array" ref="H5">IF(G5="","",IFERROR(INDEX('Auditor Pool'!$B$4:$B$71,MATCH(G5,'Auditor Pool'!$D$4:$D$71,0)),"Not in pool"))</f>
        <v/>
      </c>
      <c r="I5" s="5" t="str">
        <f t="array" ref="I5">IF(G5="","",IFERROR(INDEX('Auditor Pool'!$C$4:$C$71,MATCH(G5,'Auditor Pool'!$D$4:$D$71,0)),"Not in pool"))</f>
        <v/>
      </c>
      <c r="J5" s="5" t="str">
        <f t="shared" ref="J5:J64" si="0">IF(OR(D5="",G5=""),"",IF(A5="Mid-Semester",IF(AND(E5=B5,H5=B5,F5&lt;&gt;C5,I5&lt;&gt;C5),"OK","VIOLATION: use same institute, other dept"),IF(AND(E5&lt;&gt;B5,H5&lt;&gt;B5),"OK","VIOLATION: use another institute")))</f>
        <v/>
      </c>
      <c r="K5" s="18"/>
      <c r="L5" s="18"/>
      <c r="M5" s="18"/>
      <c r="N5" s="14"/>
    </row>
    <row r="6" spans="1:14">
      <c r="A6" s="5" t="s">
        <v>37</v>
      </c>
      <c r="B6" s="5" t="s">
        <v>34</v>
      </c>
      <c r="C6" s="5" t="s">
        <v>107</v>
      </c>
      <c r="D6" s="14"/>
      <c r="E6" s="5" t="str">
        <f t="array" ref="E6">IF(D6="","",IFERROR(INDEX('Auditor Pool'!$B$4:$B$71,MATCH(D6,'Auditor Pool'!$D$4:$D$71,0)),"Not in pool"))</f>
        <v/>
      </c>
      <c r="F6" s="5" t="str">
        <f t="array" ref="F6">IF(D6="","",IFERROR(INDEX('Auditor Pool'!$C$4:$C$71,MATCH(D6,'Auditor Pool'!$D$4:$D$71,0)),"Not in pool"))</f>
        <v/>
      </c>
      <c r="G6" s="14"/>
      <c r="H6" s="5" t="str">
        <f t="array" ref="H6">IF(G6="","",IFERROR(INDEX('Auditor Pool'!$B$4:$B$71,MATCH(G6,'Auditor Pool'!$D$4:$D$71,0)),"Not in pool"))</f>
        <v/>
      </c>
      <c r="I6" s="5" t="str">
        <f t="array" ref="I6">IF(G6="","",IFERROR(INDEX('Auditor Pool'!$C$4:$C$71,MATCH(G6,'Auditor Pool'!$D$4:$D$71,0)),"Not in pool"))</f>
        <v/>
      </c>
      <c r="J6" s="5" t="str">
        <f t="shared" si="0"/>
        <v/>
      </c>
      <c r="K6" s="18"/>
      <c r="L6" s="18"/>
      <c r="M6" s="18"/>
      <c r="N6" s="14"/>
    </row>
    <row r="7" spans="1:14">
      <c r="A7" s="5" t="s">
        <v>37</v>
      </c>
      <c r="B7" s="5" t="s">
        <v>34</v>
      </c>
      <c r="C7" s="5" t="s">
        <v>109</v>
      </c>
      <c r="D7" s="14"/>
      <c r="E7" s="5" t="str">
        <f t="array" ref="E7">IF(D7="","",IFERROR(INDEX('Auditor Pool'!$B$4:$B$71,MATCH(D7,'Auditor Pool'!$D$4:$D$71,0)),"Not in pool"))</f>
        <v/>
      </c>
      <c r="F7" s="5" t="str">
        <f t="array" ref="F7">IF(D7="","",IFERROR(INDEX('Auditor Pool'!$C$4:$C$71,MATCH(D7,'Auditor Pool'!$D$4:$D$71,0)),"Not in pool"))</f>
        <v/>
      </c>
      <c r="G7" s="14"/>
      <c r="H7" s="5" t="str">
        <f t="array" ref="H7">IF(G7="","",IFERROR(INDEX('Auditor Pool'!$B$4:$B$71,MATCH(G7,'Auditor Pool'!$D$4:$D$71,0)),"Not in pool"))</f>
        <v/>
      </c>
      <c r="I7" s="5" t="str">
        <f t="array" ref="I7">IF(G7="","",IFERROR(INDEX('Auditor Pool'!$C$4:$C$71,MATCH(G7,'Auditor Pool'!$D$4:$D$71,0)),"Not in pool"))</f>
        <v/>
      </c>
      <c r="J7" s="5" t="str">
        <f t="shared" si="0"/>
        <v/>
      </c>
      <c r="K7" s="18"/>
      <c r="L7" s="18"/>
      <c r="M7" s="18"/>
      <c r="N7" s="14"/>
    </row>
    <row r="8" spans="1:14">
      <c r="A8" s="5" t="s">
        <v>37</v>
      </c>
      <c r="B8" s="5" t="s">
        <v>34</v>
      </c>
      <c r="C8" s="5" t="s">
        <v>119</v>
      </c>
      <c r="D8" s="14"/>
      <c r="E8" s="5" t="str">
        <f t="array" ref="E8">IF(D8="","",IFERROR(INDEX('Auditor Pool'!$B$4:$B$71,MATCH(D8,'Auditor Pool'!$D$4:$D$71,0)),"Not in pool"))</f>
        <v/>
      </c>
      <c r="F8" s="5" t="str">
        <f t="array" ref="F8">IF(D8="","",IFERROR(INDEX('Auditor Pool'!$C$4:$C$71,MATCH(D8,'Auditor Pool'!$D$4:$D$71,0)),"Not in pool"))</f>
        <v/>
      </c>
      <c r="G8" s="14"/>
      <c r="H8" s="5" t="str">
        <f t="array" ref="H8">IF(G8="","",IFERROR(INDEX('Auditor Pool'!$B$4:$B$71,MATCH(G8,'Auditor Pool'!$D$4:$D$71,0)),"Not in pool"))</f>
        <v/>
      </c>
      <c r="I8" s="5" t="str">
        <f t="array" ref="I8">IF(G8="","",IFERROR(INDEX('Auditor Pool'!$C$4:$C$71,MATCH(G8,'Auditor Pool'!$D$4:$D$71,0)),"Not in pool"))</f>
        <v/>
      </c>
      <c r="J8" s="5" t="str">
        <f t="shared" si="0"/>
        <v/>
      </c>
      <c r="K8" s="18"/>
      <c r="L8" s="18"/>
      <c r="M8" s="18"/>
      <c r="N8" s="14"/>
    </row>
    <row r="9" spans="1:14">
      <c r="A9" s="5" t="s">
        <v>37</v>
      </c>
      <c r="B9" s="5" t="s">
        <v>34</v>
      </c>
      <c r="C9" s="5" t="s">
        <v>122</v>
      </c>
      <c r="D9" s="14"/>
      <c r="E9" s="5" t="str">
        <f t="array" ref="E9">IF(D9="","",IFERROR(INDEX('Auditor Pool'!$B$4:$B$71,MATCH(D9,'Auditor Pool'!$D$4:$D$71,0)),"Not in pool"))</f>
        <v/>
      </c>
      <c r="F9" s="5" t="str">
        <f t="array" ref="F9">IF(D9="","",IFERROR(INDEX('Auditor Pool'!$C$4:$C$71,MATCH(D9,'Auditor Pool'!$D$4:$D$71,0)),"Not in pool"))</f>
        <v/>
      </c>
      <c r="G9" s="14"/>
      <c r="H9" s="5" t="str">
        <f t="array" ref="H9">IF(G9="","",IFERROR(INDEX('Auditor Pool'!$B$4:$B$71,MATCH(G9,'Auditor Pool'!$D$4:$D$71,0)),"Not in pool"))</f>
        <v/>
      </c>
      <c r="I9" s="5" t="str">
        <f t="array" ref="I9">IF(G9="","",IFERROR(INDEX('Auditor Pool'!$C$4:$C$71,MATCH(G9,'Auditor Pool'!$D$4:$D$71,0)),"Not in pool"))</f>
        <v/>
      </c>
      <c r="J9" s="5" t="str">
        <f t="shared" si="0"/>
        <v/>
      </c>
      <c r="K9" s="18"/>
      <c r="L9" s="18"/>
      <c r="M9" s="18"/>
      <c r="N9" s="14"/>
    </row>
    <row r="10" spans="1:14">
      <c r="A10" s="5" t="s">
        <v>37</v>
      </c>
      <c r="B10" s="5" t="s">
        <v>34</v>
      </c>
      <c r="C10" s="5" t="s">
        <v>134</v>
      </c>
      <c r="D10" s="14"/>
      <c r="E10" s="5" t="str">
        <f t="array" ref="E10">IF(D10="","",IFERROR(INDEX('Auditor Pool'!$B$4:$B$71,MATCH(D10,'Auditor Pool'!$D$4:$D$71,0)),"Not in pool"))</f>
        <v/>
      </c>
      <c r="F10" s="5" t="str">
        <f t="array" ref="F10">IF(D10="","",IFERROR(INDEX('Auditor Pool'!$C$4:$C$71,MATCH(D10,'Auditor Pool'!$D$4:$D$71,0)),"Not in pool"))</f>
        <v/>
      </c>
      <c r="G10" s="14"/>
      <c r="H10" s="5" t="str">
        <f t="array" ref="H10">IF(G10="","",IFERROR(INDEX('Auditor Pool'!$B$4:$B$71,MATCH(G10,'Auditor Pool'!$D$4:$D$71,0)),"Not in pool"))</f>
        <v/>
      </c>
      <c r="I10" s="5" t="str">
        <f t="array" ref="I10">IF(G10="","",IFERROR(INDEX('Auditor Pool'!$C$4:$C$71,MATCH(G10,'Auditor Pool'!$D$4:$D$71,0)),"Not in pool"))</f>
        <v/>
      </c>
      <c r="J10" s="5" t="str">
        <f t="shared" si="0"/>
        <v/>
      </c>
      <c r="K10" s="18"/>
      <c r="L10" s="18"/>
      <c r="M10" s="18"/>
      <c r="N10" s="14"/>
    </row>
    <row r="11" spans="1:14">
      <c r="A11" s="5" t="s">
        <v>37</v>
      </c>
      <c r="B11" s="5" t="s">
        <v>34</v>
      </c>
      <c r="C11" s="5" t="s">
        <v>143</v>
      </c>
      <c r="D11" s="14"/>
      <c r="E11" s="5" t="str">
        <f t="array" ref="E11">IF(D11="","",IFERROR(INDEX('Auditor Pool'!$B$4:$B$71,MATCH(D11,'Auditor Pool'!$D$4:$D$71,0)),"Not in pool"))</f>
        <v/>
      </c>
      <c r="F11" s="5" t="str">
        <f t="array" ref="F11">IF(D11="","",IFERROR(INDEX('Auditor Pool'!$C$4:$C$71,MATCH(D11,'Auditor Pool'!$D$4:$D$71,0)),"Not in pool"))</f>
        <v/>
      </c>
      <c r="G11" s="14"/>
      <c r="H11" s="5" t="str">
        <f t="array" ref="H11">IF(G11="","",IFERROR(INDEX('Auditor Pool'!$B$4:$B$71,MATCH(G11,'Auditor Pool'!$D$4:$D$71,0)),"Not in pool"))</f>
        <v/>
      </c>
      <c r="I11" s="5" t="str">
        <f t="array" ref="I11">IF(G11="","",IFERROR(INDEX('Auditor Pool'!$C$4:$C$71,MATCH(G11,'Auditor Pool'!$D$4:$D$71,0)),"Not in pool"))</f>
        <v/>
      </c>
      <c r="J11" s="5" t="str">
        <f t="shared" si="0"/>
        <v/>
      </c>
      <c r="K11" s="18"/>
      <c r="L11" s="18"/>
      <c r="M11" s="18"/>
      <c r="N11" s="14"/>
    </row>
    <row r="12" spans="1:14">
      <c r="A12" s="5" t="s">
        <v>37</v>
      </c>
      <c r="B12" s="5" t="s">
        <v>34</v>
      </c>
      <c r="C12" s="5" t="s">
        <v>155</v>
      </c>
      <c r="D12" s="14"/>
      <c r="E12" s="5" t="str">
        <f t="array" ref="E12">IF(D12="","",IFERROR(INDEX('Auditor Pool'!$B$4:$B$71,MATCH(D12,'Auditor Pool'!$D$4:$D$71,0)),"Not in pool"))</f>
        <v/>
      </c>
      <c r="F12" s="5" t="str">
        <f t="array" ref="F12">IF(D12="","",IFERROR(INDEX('Auditor Pool'!$C$4:$C$71,MATCH(D12,'Auditor Pool'!$D$4:$D$71,0)),"Not in pool"))</f>
        <v/>
      </c>
      <c r="G12" s="14"/>
      <c r="H12" s="5" t="str">
        <f t="array" ref="H12">IF(G12="","",IFERROR(INDEX('Auditor Pool'!$B$4:$B$71,MATCH(G12,'Auditor Pool'!$D$4:$D$71,0)),"Not in pool"))</f>
        <v/>
      </c>
      <c r="I12" s="5" t="str">
        <f t="array" ref="I12">IF(G12="","",IFERROR(INDEX('Auditor Pool'!$C$4:$C$71,MATCH(G12,'Auditor Pool'!$D$4:$D$71,0)),"Not in pool"))</f>
        <v/>
      </c>
      <c r="J12" s="5" t="str">
        <f t="shared" si="0"/>
        <v/>
      </c>
      <c r="K12" s="18"/>
      <c r="L12" s="18"/>
      <c r="M12" s="18"/>
      <c r="N12" s="14"/>
    </row>
    <row r="13" spans="1:14">
      <c r="A13" s="5" t="s">
        <v>37</v>
      </c>
      <c r="B13" s="5" t="s">
        <v>34</v>
      </c>
      <c r="C13" s="5" t="s">
        <v>167</v>
      </c>
      <c r="D13" s="14"/>
      <c r="E13" s="5" t="str">
        <f t="array" ref="E13">IF(D13="","",IFERROR(INDEX('Auditor Pool'!$B$4:$B$71,MATCH(D13,'Auditor Pool'!$D$4:$D$71,0)),"Not in pool"))</f>
        <v/>
      </c>
      <c r="F13" s="5" t="str">
        <f t="array" ref="F13">IF(D13="","",IFERROR(INDEX('Auditor Pool'!$C$4:$C$71,MATCH(D13,'Auditor Pool'!$D$4:$D$71,0)),"Not in pool"))</f>
        <v/>
      </c>
      <c r="G13" s="14"/>
      <c r="H13" s="5" t="str">
        <f t="array" ref="H13">IF(G13="","",IFERROR(INDEX('Auditor Pool'!$B$4:$B$71,MATCH(G13,'Auditor Pool'!$D$4:$D$71,0)),"Not in pool"))</f>
        <v/>
      </c>
      <c r="I13" s="5" t="str">
        <f t="array" ref="I13">IF(G13="","",IFERROR(INDEX('Auditor Pool'!$C$4:$C$71,MATCH(G13,'Auditor Pool'!$D$4:$D$71,0)),"Not in pool"))</f>
        <v/>
      </c>
      <c r="J13" s="5" t="str">
        <f t="shared" si="0"/>
        <v/>
      </c>
      <c r="K13" s="18"/>
      <c r="L13" s="18"/>
      <c r="M13" s="18"/>
      <c r="N13" s="14"/>
    </row>
    <row r="14" spans="1:14">
      <c r="A14" s="5" t="s">
        <v>37</v>
      </c>
      <c r="B14" s="5" t="s">
        <v>62</v>
      </c>
      <c r="C14" s="5" t="s">
        <v>82</v>
      </c>
      <c r="D14" s="14"/>
      <c r="E14" s="5" t="str">
        <f t="array" ref="E14">IF(D14="","",IFERROR(INDEX('Auditor Pool'!$B$4:$B$71,MATCH(D14,'Auditor Pool'!$D$4:$D$71,0)),"Not in pool"))</f>
        <v/>
      </c>
      <c r="F14" s="5" t="str">
        <f t="array" ref="F14">IF(D14="","",IFERROR(INDEX('Auditor Pool'!$C$4:$C$71,MATCH(D14,'Auditor Pool'!$D$4:$D$71,0)),"Not in pool"))</f>
        <v/>
      </c>
      <c r="G14" s="14"/>
      <c r="H14" s="5" t="str">
        <f t="array" ref="H14">IF(G14="","",IFERROR(INDEX('Auditor Pool'!$B$4:$B$71,MATCH(G14,'Auditor Pool'!$D$4:$D$71,0)),"Not in pool"))</f>
        <v/>
      </c>
      <c r="I14" s="5" t="str">
        <f t="array" ref="I14">IF(G14="","",IFERROR(INDEX('Auditor Pool'!$C$4:$C$71,MATCH(G14,'Auditor Pool'!$D$4:$D$71,0)),"Not in pool"))</f>
        <v/>
      </c>
      <c r="J14" s="5" t="str">
        <f t="shared" si="0"/>
        <v/>
      </c>
      <c r="K14" s="18"/>
      <c r="L14" s="18"/>
      <c r="M14" s="18"/>
      <c r="N14" s="14"/>
    </row>
    <row r="15" spans="1:14">
      <c r="A15" s="5" t="s">
        <v>37</v>
      </c>
      <c r="B15" s="5" t="s">
        <v>62</v>
      </c>
      <c r="C15" s="5" t="s">
        <v>107</v>
      </c>
      <c r="D15" s="14"/>
      <c r="E15" s="5" t="str">
        <f t="array" ref="E15">IF(D15="","",IFERROR(INDEX('Auditor Pool'!$B$4:$B$71,MATCH(D15,'Auditor Pool'!$D$4:$D$71,0)),"Not in pool"))</f>
        <v/>
      </c>
      <c r="F15" s="5" t="str">
        <f t="array" ref="F15">IF(D15="","",IFERROR(INDEX('Auditor Pool'!$C$4:$C$71,MATCH(D15,'Auditor Pool'!$D$4:$D$71,0)),"Not in pool"))</f>
        <v/>
      </c>
      <c r="G15" s="14"/>
      <c r="H15" s="5" t="str">
        <f t="array" ref="H15">IF(G15="","",IFERROR(INDEX('Auditor Pool'!$B$4:$B$71,MATCH(G15,'Auditor Pool'!$D$4:$D$71,0)),"Not in pool"))</f>
        <v/>
      </c>
      <c r="I15" s="5" t="str">
        <f t="array" ref="I15">IF(G15="","",IFERROR(INDEX('Auditor Pool'!$C$4:$C$71,MATCH(G15,'Auditor Pool'!$D$4:$D$71,0)),"Not in pool"))</f>
        <v/>
      </c>
      <c r="J15" s="5" t="str">
        <f t="shared" si="0"/>
        <v/>
      </c>
      <c r="K15" s="18"/>
      <c r="L15" s="18"/>
      <c r="M15" s="18"/>
      <c r="N15" s="14"/>
    </row>
    <row r="16" spans="1:14">
      <c r="A16" s="5" t="s">
        <v>37</v>
      </c>
      <c r="B16" s="5" t="s">
        <v>62</v>
      </c>
      <c r="C16" s="5" t="s">
        <v>109</v>
      </c>
      <c r="D16" s="14"/>
      <c r="E16" s="5" t="str">
        <f t="array" ref="E16">IF(D16="","",IFERROR(INDEX('Auditor Pool'!$B$4:$B$71,MATCH(D16,'Auditor Pool'!$D$4:$D$71,0)),"Not in pool"))</f>
        <v/>
      </c>
      <c r="F16" s="5" t="str">
        <f t="array" ref="F16">IF(D16="","",IFERROR(INDEX('Auditor Pool'!$C$4:$C$71,MATCH(D16,'Auditor Pool'!$D$4:$D$71,0)),"Not in pool"))</f>
        <v/>
      </c>
      <c r="G16" s="14"/>
      <c r="H16" s="5" t="str">
        <f t="array" ref="H16">IF(G16="","",IFERROR(INDEX('Auditor Pool'!$B$4:$B$71,MATCH(G16,'Auditor Pool'!$D$4:$D$71,0)),"Not in pool"))</f>
        <v/>
      </c>
      <c r="I16" s="5" t="str">
        <f t="array" ref="I16">IF(G16="","",IFERROR(INDEX('Auditor Pool'!$C$4:$C$71,MATCH(G16,'Auditor Pool'!$D$4:$D$71,0)),"Not in pool"))</f>
        <v/>
      </c>
      <c r="J16" s="5" t="str">
        <f t="shared" si="0"/>
        <v/>
      </c>
      <c r="K16" s="18"/>
      <c r="L16" s="18"/>
      <c r="M16" s="18"/>
      <c r="N16" s="14"/>
    </row>
    <row r="17" spans="1:14">
      <c r="A17" s="5" t="s">
        <v>37</v>
      </c>
      <c r="B17" s="5" t="s">
        <v>62</v>
      </c>
      <c r="C17" s="5" t="s">
        <v>119</v>
      </c>
      <c r="D17" s="14"/>
      <c r="E17" s="5" t="str">
        <f t="array" ref="E17">IF(D17="","",IFERROR(INDEX('Auditor Pool'!$B$4:$B$71,MATCH(D17,'Auditor Pool'!$D$4:$D$71,0)),"Not in pool"))</f>
        <v/>
      </c>
      <c r="F17" s="5" t="str">
        <f t="array" ref="F17">IF(D17="","",IFERROR(INDEX('Auditor Pool'!$C$4:$C$71,MATCH(D17,'Auditor Pool'!$D$4:$D$71,0)),"Not in pool"))</f>
        <v/>
      </c>
      <c r="G17" s="14"/>
      <c r="H17" s="5" t="str">
        <f t="array" ref="H17">IF(G17="","",IFERROR(INDEX('Auditor Pool'!$B$4:$B$71,MATCH(G17,'Auditor Pool'!$D$4:$D$71,0)),"Not in pool"))</f>
        <v/>
      </c>
      <c r="I17" s="5" t="str">
        <f t="array" ref="I17">IF(G17="","",IFERROR(INDEX('Auditor Pool'!$C$4:$C$71,MATCH(G17,'Auditor Pool'!$D$4:$D$71,0)),"Not in pool"))</f>
        <v/>
      </c>
      <c r="J17" s="5" t="str">
        <f t="shared" si="0"/>
        <v/>
      </c>
      <c r="K17" s="18"/>
      <c r="L17" s="18"/>
      <c r="M17" s="18"/>
      <c r="N17" s="14"/>
    </row>
    <row r="18" spans="1:14">
      <c r="A18" s="5" t="s">
        <v>37</v>
      </c>
      <c r="B18" s="5" t="s">
        <v>62</v>
      </c>
      <c r="C18" s="5" t="s">
        <v>210</v>
      </c>
      <c r="D18" s="14"/>
      <c r="E18" s="5" t="str">
        <f t="array" ref="E18">IF(D18="","",IFERROR(INDEX('Auditor Pool'!$B$4:$B$71,MATCH(D18,'Auditor Pool'!$D$4:$D$71,0)),"Not in pool"))</f>
        <v/>
      </c>
      <c r="F18" s="5" t="str">
        <f t="array" ref="F18">IF(D18="","",IFERROR(INDEX('Auditor Pool'!$C$4:$C$71,MATCH(D18,'Auditor Pool'!$D$4:$D$71,0)),"Not in pool"))</f>
        <v/>
      </c>
      <c r="G18" s="14"/>
      <c r="H18" s="5" t="str">
        <f t="array" ref="H18">IF(G18="","",IFERROR(INDEX('Auditor Pool'!$B$4:$B$71,MATCH(G18,'Auditor Pool'!$D$4:$D$71,0)),"Not in pool"))</f>
        <v/>
      </c>
      <c r="I18" s="5" t="str">
        <f t="array" ref="I18">IF(G18="","",IFERROR(INDEX('Auditor Pool'!$C$4:$C$71,MATCH(G18,'Auditor Pool'!$D$4:$D$71,0)),"Not in pool"))</f>
        <v/>
      </c>
      <c r="J18" s="5" t="str">
        <f t="shared" si="0"/>
        <v/>
      </c>
      <c r="K18" s="18"/>
      <c r="L18" s="18"/>
      <c r="M18" s="18"/>
      <c r="N18" s="14"/>
    </row>
    <row r="19" spans="1:14">
      <c r="A19" s="5" t="s">
        <v>37</v>
      </c>
      <c r="B19" s="5" t="s">
        <v>62</v>
      </c>
      <c r="C19" s="5" t="s">
        <v>122</v>
      </c>
      <c r="D19" s="14"/>
      <c r="E19" s="5" t="str">
        <f t="array" ref="E19">IF(D19="","",IFERROR(INDEX('Auditor Pool'!$B$4:$B$71,MATCH(D19,'Auditor Pool'!$D$4:$D$71,0)),"Not in pool"))</f>
        <v/>
      </c>
      <c r="F19" s="5" t="str">
        <f t="array" ref="F19">IF(D19="","",IFERROR(INDEX('Auditor Pool'!$C$4:$C$71,MATCH(D19,'Auditor Pool'!$D$4:$D$71,0)),"Not in pool"))</f>
        <v/>
      </c>
      <c r="G19" s="14"/>
      <c r="H19" s="5" t="str">
        <f t="array" ref="H19">IF(G19="","",IFERROR(INDEX('Auditor Pool'!$B$4:$B$71,MATCH(G19,'Auditor Pool'!$D$4:$D$71,0)),"Not in pool"))</f>
        <v/>
      </c>
      <c r="I19" s="5" t="str">
        <f t="array" ref="I19">IF(G19="","",IFERROR(INDEX('Auditor Pool'!$C$4:$C$71,MATCH(G19,'Auditor Pool'!$D$4:$D$71,0)),"Not in pool"))</f>
        <v/>
      </c>
      <c r="J19" s="5" t="str">
        <f t="shared" si="0"/>
        <v/>
      </c>
      <c r="K19" s="18"/>
      <c r="L19" s="18"/>
      <c r="M19" s="18"/>
      <c r="N19" s="14"/>
    </row>
    <row r="20" spans="1:14">
      <c r="A20" s="5" t="s">
        <v>37</v>
      </c>
      <c r="B20" s="5" t="s">
        <v>62</v>
      </c>
      <c r="C20" s="5" t="s">
        <v>134</v>
      </c>
      <c r="D20" s="14"/>
      <c r="E20" s="5" t="str">
        <f t="array" ref="E20">IF(D20="","",IFERROR(INDEX('Auditor Pool'!$B$4:$B$71,MATCH(D20,'Auditor Pool'!$D$4:$D$71,0)),"Not in pool"))</f>
        <v/>
      </c>
      <c r="F20" s="5" t="str">
        <f t="array" ref="F20">IF(D20="","",IFERROR(INDEX('Auditor Pool'!$C$4:$C$71,MATCH(D20,'Auditor Pool'!$D$4:$D$71,0)),"Not in pool"))</f>
        <v/>
      </c>
      <c r="G20" s="14"/>
      <c r="H20" s="5" t="str">
        <f t="array" ref="H20">IF(G20="","",IFERROR(INDEX('Auditor Pool'!$B$4:$B$71,MATCH(G20,'Auditor Pool'!$D$4:$D$71,0)),"Not in pool"))</f>
        <v/>
      </c>
      <c r="I20" s="5" t="str">
        <f t="array" ref="I20">IF(G20="","",IFERROR(INDEX('Auditor Pool'!$C$4:$C$71,MATCH(G20,'Auditor Pool'!$D$4:$D$71,0)),"Not in pool"))</f>
        <v/>
      </c>
      <c r="J20" s="5" t="str">
        <f t="shared" si="0"/>
        <v/>
      </c>
      <c r="K20" s="18"/>
      <c r="L20" s="18"/>
      <c r="M20" s="18"/>
      <c r="N20" s="14"/>
    </row>
    <row r="21" spans="1:14" ht="15.75" customHeight="1">
      <c r="A21" s="5" t="s">
        <v>37</v>
      </c>
      <c r="B21" s="5" t="s">
        <v>62</v>
      </c>
      <c r="C21" s="5" t="s">
        <v>143</v>
      </c>
      <c r="D21" s="14"/>
      <c r="E21" s="5" t="str">
        <f t="array" ref="E21">IF(D21="","",IFERROR(INDEX('Auditor Pool'!$B$4:$B$71,MATCH(D21,'Auditor Pool'!$D$4:$D$71,0)),"Not in pool"))</f>
        <v/>
      </c>
      <c r="F21" s="5" t="str">
        <f t="array" ref="F21">IF(D21="","",IFERROR(INDEX('Auditor Pool'!$C$4:$C$71,MATCH(D21,'Auditor Pool'!$D$4:$D$71,0)),"Not in pool"))</f>
        <v/>
      </c>
      <c r="G21" s="14"/>
      <c r="H21" s="5" t="str">
        <f t="array" ref="H21">IF(G21="","",IFERROR(INDEX('Auditor Pool'!$B$4:$B$71,MATCH(G21,'Auditor Pool'!$D$4:$D$71,0)),"Not in pool"))</f>
        <v/>
      </c>
      <c r="I21" s="5" t="str">
        <f t="array" ref="I21">IF(G21="","",IFERROR(INDEX('Auditor Pool'!$C$4:$C$71,MATCH(G21,'Auditor Pool'!$D$4:$D$71,0)),"Not in pool"))</f>
        <v/>
      </c>
      <c r="J21" s="5" t="str">
        <f t="shared" si="0"/>
        <v/>
      </c>
      <c r="K21" s="18"/>
      <c r="L21" s="18"/>
      <c r="M21" s="18"/>
      <c r="N21" s="14"/>
    </row>
    <row r="22" spans="1:14" ht="15.75" customHeight="1">
      <c r="A22" s="5" t="s">
        <v>37</v>
      </c>
      <c r="B22" s="5" t="s">
        <v>62</v>
      </c>
      <c r="C22" s="5" t="s">
        <v>167</v>
      </c>
      <c r="D22" s="14"/>
      <c r="E22" s="5" t="str">
        <f t="array" ref="E22">IF(D22="","",IFERROR(INDEX('Auditor Pool'!$B$4:$B$71,MATCH(D22,'Auditor Pool'!$D$4:$D$71,0)),"Not in pool"))</f>
        <v/>
      </c>
      <c r="F22" s="5" t="str">
        <f t="array" ref="F22">IF(D22="","",IFERROR(INDEX('Auditor Pool'!$C$4:$C$71,MATCH(D22,'Auditor Pool'!$D$4:$D$71,0)),"Not in pool"))</f>
        <v/>
      </c>
      <c r="G22" s="14"/>
      <c r="H22" s="5" t="str">
        <f t="array" ref="H22">IF(G22="","",IFERROR(INDEX('Auditor Pool'!$B$4:$B$71,MATCH(G22,'Auditor Pool'!$D$4:$D$71,0)),"Not in pool"))</f>
        <v/>
      </c>
      <c r="I22" s="5" t="str">
        <f t="array" ref="I22">IF(G22="","",IFERROR(INDEX('Auditor Pool'!$C$4:$C$71,MATCH(G22,'Auditor Pool'!$D$4:$D$71,0)),"Not in pool"))</f>
        <v/>
      </c>
      <c r="J22" s="5" t="str">
        <f t="shared" si="0"/>
        <v/>
      </c>
      <c r="K22" s="18"/>
      <c r="L22" s="18"/>
      <c r="M22" s="18"/>
      <c r="N22" s="14"/>
    </row>
    <row r="23" spans="1:14" ht="15.75" customHeight="1">
      <c r="A23" s="5" t="s">
        <v>37</v>
      </c>
      <c r="B23" s="5" t="s">
        <v>63</v>
      </c>
      <c r="C23" s="5" t="s">
        <v>82</v>
      </c>
      <c r="D23" s="14"/>
      <c r="E23" s="5" t="str">
        <f t="array" ref="E23">IF(D23="","",IFERROR(INDEX('Auditor Pool'!$B$4:$B$71,MATCH(D23,'Auditor Pool'!$D$4:$D$71,0)),"Not in pool"))</f>
        <v/>
      </c>
      <c r="F23" s="5" t="str">
        <f t="array" ref="F23">IF(D23="","",IFERROR(INDEX('Auditor Pool'!$C$4:$C$71,MATCH(D23,'Auditor Pool'!$D$4:$D$71,0)),"Not in pool"))</f>
        <v/>
      </c>
      <c r="G23" s="14"/>
      <c r="H23" s="5" t="str">
        <f t="array" ref="H23">IF(G23="","",IFERROR(INDEX('Auditor Pool'!$B$4:$B$71,MATCH(G23,'Auditor Pool'!$D$4:$D$71,0)),"Not in pool"))</f>
        <v/>
      </c>
      <c r="I23" s="5" t="str">
        <f t="array" ref="I23">IF(G23="","",IFERROR(INDEX('Auditor Pool'!$C$4:$C$71,MATCH(G23,'Auditor Pool'!$D$4:$D$71,0)),"Not in pool"))</f>
        <v/>
      </c>
      <c r="J23" s="5" t="str">
        <f t="shared" si="0"/>
        <v/>
      </c>
      <c r="K23" s="18"/>
      <c r="L23" s="18"/>
      <c r="M23" s="18"/>
      <c r="N23" s="14"/>
    </row>
    <row r="24" spans="1:14" ht="15.75" customHeight="1">
      <c r="A24" s="5" t="s">
        <v>37</v>
      </c>
      <c r="B24" s="5" t="s">
        <v>63</v>
      </c>
      <c r="C24" s="5" t="s">
        <v>107</v>
      </c>
      <c r="D24" s="14"/>
      <c r="E24" s="5" t="str">
        <f t="array" ref="E24">IF(D24="","",IFERROR(INDEX('Auditor Pool'!$B$4:$B$71,MATCH(D24,'Auditor Pool'!$D$4:$D$71,0)),"Not in pool"))</f>
        <v/>
      </c>
      <c r="F24" s="5" t="str">
        <f t="array" ref="F24">IF(D24="","",IFERROR(INDEX('Auditor Pool'!$C$4:$C$71,MATCH(D24,'Auditor Pool'!$D$4:$D$71,0)),"Not in pool"))</f>
        <v/>
      </c>
      <c r="G24" s="14"/>
      <c r="H24" s="5" t="str">
        <f t="array" ref="H24">IF(G24="","",IFERROR(INDEX('Auditor Pool'!$B$4:$B$71,MATCH(G24,'Auditor Pool'!$D$4:$D$71,0)),"Not in pool"))</f>
        <v/>
      </c>
      <c r="I24" s="5" t="str">
        <f t="array" ref="I24">IF(G24="","",IFERROR(INDEX('Auditor Pool'!$C$4:$C$71,MATCH(G24,'Auditor Pool'!$D$4:$D$71,0)),"Not in pool"))</f>
        <v/>
      </c>
      <c r="J24" s="5" t="str">
        <f t="shared" si="0"/>
        <v/>
      </c>
      <c r="K24" s="18"/>
      <c r="L24" s="18"/>
      <c r="M24" s="18"/>
      <c r="N24" s="14"/>
    </row>
    <row r="25" spans="1:14" ht="15.75" customHeight="1">
      <c r="A25" s="5" t="s">
        <v>37</v>
      </c>
      <c r="B25" s="5" t="s">
        <v>63</v>
      </c>
      <c r="C25" s="5" t="s">
        <v>109</v>
      </c>
      <c r="D25" s="14"/>
      <c r="E25" s="5" t="str">
        <f t="array" ref="E25">IF(D25="","",IFERROR(INDEX('Auditor Pool'!$B$4:$B$71,MATCH(D25,'Auditor Pool'!$D$4:$D$71,0)),"Not in pool"))</f>
        <v/>
      </c>
      <c r="F25" s="5" t="str">
        <f t="array" ref="F25">IF(D25="","",IFERROR(INDEX('Auditor Pool'!$C$4:$C$71,MATCH(D25,'Auditor Pool'!$D$4:$D$71,0)),"Not in pool"))</f>
        <v/>
      </c>
      <c r="G25" s="14"/>
      <c r="H25" s="5" t="str">
        <f t="array" ref="H25">IF(G25="","",IFERROR(INDEX('Auditor Pool'!$B$4:$B$71,MATCH(G25,'Auditor Pool'!$D$4:$D$71,0)),"Not in pool"))</f>
        <v/>
      </c>
      <c r="I25" s="5" t="str">
        <f t="array" ref="I25">IF(G25="","",IFERROR(INDEX('Auditor Pool'!$C$4:$C$71,MATCH(G25,'Auditor Pool'!$D$4:$D$71,0)),"Not in pool"))</f>
        <v/>
      </c>
      <c r="J25" s="5" t="str">
        <f t="shared" si="0"/>
        <v/>
      </c>
      <c r="K25" s="18"/>
      <c r="L25" s="18"/>
      <c r="M25" s="18"/>
      <c r="N25" s="14"/>
    </row>
    <row r="26" spans="1:14" ht="15.75" customHeight="1">
      <c r="A26" s="5" t="s">
        <v>37</v>
      </c>
      <c r="B26" s="5" t="s">
        <v>63</v>
      </c>
      <c r="C26" s="5" t="s">
        <v>119</v>
      </c>
      <c r="D26" s="14"/>
      <c r="E26" s="5" t="str">
        <f t="array" ref="E26">IF(D26="","",IFERROR(INDEX('Auditor Pool'!$B$4:$B$71,MATCH(D26,'Auditor Pool'!$D$4:$D$71,0)),"Not in pool"))</f>
        <v/>
      </c>
      <c r="F26" s="5" t="str">
        <f t="array" ref="F26">IF(D26="","",IFERROR(INDEX('Auditor Pool'!$C$4:$C$71,MATCH(D26,'Auditor Pool'!$D$4:$D$71,0)),"Not in pool"))</f>
        <v/>
      </c>
      <c r="G26" s="14"/>
      <c r="H26" s="5" t="str">
        <f t="array" ref="H26">IF(G26="","",IFERROR(INDEX('Auditor Pool'!$B$4:$B$71,MATCH(G26,'Auditor Pool'!$D$4:$D$71,0)),"Not in pool"))</f>
        <v/>
      </c>
      <c r="I26" s="5" t="str">
        <f t="array" ref="I26">IF(G26="","",IFERROR(INDEX('Auditor Pool'!$C$4:$C$71,MATCH(G26,'Auditor Pool'!$D$4:$D$71,0)),"Not in pool"))</f>
        <v/>
      </c>
      <c r="J26" s="5" t="str">
        <f t="shared" si="0"/>
        <v/>
      </c>
      <c r="K26" s="18"/>
      <c r="L26" s="18"/>
      <c r="M26" s="18"/>
      <c r="N26" s="14"/>
    </row>
    <row r="27" spans="1:14" ht="15.75" customHeight="1">
      <c r="A27" s="5" t="s">
        <v>37</v>
      </c>
      <c r="B27" s="5" t="s">
        <v>63</v>
      </c>
      <c r="C27" s="5" t="s">
        <v>210</v>
      </c>
      <c r="D27" s="14"/>
      <c r="E27" s="5" t="str">
        <f t="array" ref="E27">IF(D27="","",IFERROR(INDEX('Auditor Pool'!$B$4:$B$71,MATCH(D27,'Auditor Pool'!$D$4:$D$71,0)),"Not in pool"))</f>
        <v/>
      </c>
      <c r="F27" s="5" t="str">
        <f t="array" ref="F27">IF(D27="","",IFERROR(INDEX('Auditor Pool'!$C$4:$C$71,MATCH(D27,'Auditor Pool'!$D$4:$D$71,0)),"Not in pool"))</f>
        <v/>
      </c>
      <c r="G27" s="14"/>
      <c r="H27" s="5" t="str">
        <f t="array" ref="H27">IF(G27="","",IFERROR(INDEX('Auditor Pool'!$B$4:$B$71,MATCH(G27,'Auditor Pool'!$D$4:$D$71,0)),"Not in pool"))</f>
        <v/>
      </c>
      <c r="I27" s="5" t="str">
        <f t="array" ref="I27">IF(G27="","",IFERROR(INDEX('Auditor Pool'!$C$4:$C$71,MATCH(G27,'Auditor Pool'!$D$4:$D$71,0)),"Not in pool"))</f>
        <v/>
      </c>
      <c r="J27" s="5" t="str">
        <f t="shared" si="0"/>
        <v/>
      </c>
      <c r="K27" s="18"/>
      <c r="L27" s="18"/>
      <c r="M27" s="18"/>
      <c r="N27" s="14"/>
    </row>
    <row r="28" spans="1:14" ht="15.75" customHeight="1">
      <c r="A28" s="5" t="s">
        <v>37</v>
      </c>
      <c r="B28" s="5" t="s">
        <v>63</v>
      </c>
      <c r="C28" s="5" t="s">
        <v>122</v>
      </c>
      <c r="D28" s="14"/>
      <c r="E28" s="5" t="str">
        <f t="array" ref="E28">IF(D28="","",IFERROR(INDEX('Auditor Pool'!$B$4:$B$71,MATCH(D28,'Auditor Pool'!$D$4:$D$71,0)),"Not in pool"))</f>
        <v/>
      </c>
      <c r="F28" s="5" t="str">
        <f t="array" ref="F28">IF(D28="","",IFERROR(INDEX('Auditor Pool'!$C$4:$C$71,MATCH(D28,'Auditor Pool'!$D$4:$D$71,0)),"Not in pool"))</f>
        <v/>
      </c>
      <c r="G28" s="14"/>
      <c r="H28" s="5" t="str">
        <f t="array" ref="H28">IF(G28="","",IFERROR(INDEX('Auditor Pool'!$B$4:$B$71,MATCH(G28,'Auditor Pool'!$D$4:$D$71,0)),"Not in pool"))</f>
        <v/>
      </c>
      <c r="I28" s="5" t="str">
        <f t="array" ref="I28">IF(G28="","",IFERROR(INDEX('Auditor Pool'!$C$4:$C$71,MATCH(G28,'Auditor Pool'!$D$4:$D$71,0)),"Not in pool"))</f>
        <v/>
      </c>
      <c r="J28" s="5" t="str">
        <f t="shared" si="0"/>
        <v/>
      </c>
      <c r="K28" s="18"/>
      <c r="L28" s="18"/>
      <c r="M28" s="18"/>
      <c r="N28" s="14"/>
    </row>
    <row r="29" spans="1:14" ht="15.75" customHeight="1">
      <c r="A29" s="5" t="s">
        <v>37</v>
      </c>
      <c r="B29" s="5" t="s">
        <v>63</v>
      </c>
      <c r="C29" s="5" t="s">
        <v>134</v>
      </c>
      <c r="D29" s="14"/>
      <c r="E29" s="5" t="str">
        <f t="array" ref="E29">IF(D29="","",IFERROR(INDEX('Auditor Pool'!$B$4:$B$71,MATCH(D29,'Auditor Pool'!$D$4:$D$71,0)),"Not in pool"))</f>
        <v/>
      </c>
      <c r="F29" s="5" t="str">
        <f t="array" ref="F29">IF(D29="","",IFERROR(INDEX('Auditor Pool'!$C$4:$C$71,MATCH(D29,'Auditor Pool'!$D$4:$D$71,0)),"Not in pool"))</f>
        <v/>
      </c>
      <c r="G29" s="14"/>
      <c r="H29" s="5" t="str">
        <f t="array" ref="H29">IF(G29="","",IFERROR(INDEX('Auditor Pool'!$B$4:$B$71,MATCH(G29,'Auditor Pool'!$D$4:$D$71,0)),"Not in pool"))</f>
        <v/>
      </c>
      <c r="I29" s="5" t="str">
        <f t="array" ref="I29">IF(G29="","",IFERROR(INDEX('Auditor Pool'!$C$4:$C$71,MATCH(G29,'Auditor Pool'!$D$4:$D$71,0)),"Not in pool"))</f>
        <v/>
      </c>
      <c r="J29" s="5" t="str">
        <f t="shared" si="0"/>
        <v/>
      </c>
      <c r="K29" s="18"/>
      <c r="L29" s="18"/>
      <c r="M29" s="18"/>
      <c r="N29" s="14"/>
    </row>
    <row r="30" spans="1:14" ht="15.75" customHeight="1">
      <c r="A30" s="5" t="s">
        <v>37</v>
      </c>
      <c r="B30" s="5" t="s">
        <v>63</v>
      </c>
      <c r="C30" s="5" t="s">
        <v>143</v>
      </c>
      <c r="D30" s="14"/>
      <c r="E30" s="5" t="str">
        <f t="array" ref="E30">IF(D30="","",IFERROR(INDEX('Auditor Pool'!$B$4:$B$71,MATCH(D30,'Auditor Pool'!$D$4:$D$71,0)),"Not in pool"))</f>
        <v/>
      </c>
      <c r="F30" s="5" t="str">
        <f t="array" ref="F30">IF(D30="","",IFERROR(INDEX('Auditor Pool'!$C$4:$C$71,MATCH(D30,'Auditor Pool'!$D$4:$D$71,0)),"Not in pool"))</f>
        <v/>
      </c>
      <c r="G30" s="14"/>
      <c r="H30" s="5" t="str">
        <f t="array" ref="H30">IF(G30="","",IFERROR(INDEX('Auditor Pool'!$B$4:$B$71,MATCH(G30,'Auditor Pool'!$D$4:$D$71,0)),"Not in pool"))</f>
        <v/>
      </c>
      <c r="I30" s="5" t="str">
        <f t="array" ref="I30">IF(G30="","",IFERROR(INDEX('Auditor Pool'!$C$4:$C$71,MATCH(G30,'Auditor Pool'!$D$4:$D$71,0)),"Not in pool"))</f>
        <v/>
      </c>
      <c r="J30" s="5" t="str">
        <f t="shared" si="0"/>
        <v/>
      </c>
      <c r="K30" s="18"/>
      <c r="L30" s="18"/>
      <c r="M30" s="18"/>
      <c r="N30" s="14"/>
    </row>
    <row r="31" spans="1:14" ht="15.75" customHeight="1">
      <c r="A31" s="5" t="s">
        <v>37</v>
      </c>
      <c r="B31" s="5" t="s">
        <v>63</v>
      </c>
      <c r="C31" s="5" t="s">
        <v>155</v>
      </c>
      <c r="D31" s="14"/>
      <c r="E31" s="5" t="str">
        <f t="array" ref="E31">IF(D31="","",IFERROR(INDEX('Auditor Pool'!$B$4:$B$71,MATCH(D31,'Auditor Pool'!$D$4:$D$71,0)),"Not in pool"))</f>
        <v/>
      </c>
      <c r="F31" s="5" t="str">
        <f t="array" ref="F31">IF(D31="","",IFERROR(INDEX('Auditor Pool'!$C$4:$C$71,MATCH(D31,'Auditor Pool'!$D$4:$D$71,0)),"Not in pool"))</f>
        <v/>
      </c>
      <c r="G31" s="14"/>
      <c r="H31" s="5" t="str">
        <f t="array" ref="H31">IF(G31="","",IFERROR(INDEX('Auditor Pool'!$B$4:$B$71,MATCH(G31,'Auditor Pool'!$D$4:$D$71,0)),"Not in pool"))</f>
        <v/>
      </c>
      <c r="I31" s="5" t="str">
        <f t="array" ref="I31">IF(G31="","",IFERROR(INDEX('Auditor Pool'!$C$4:$C$71,MATCH(G31,'Auditor Pool'!$D$4:$D$71,0)),"Not in pool"))</f>
        <v/>
      </c>
      <c r="J31" s="5" t="str">
        <f t="shared" si="0"/>
        <v/>
      </c>
      <c r="K31" s="18"/>
      <c r="L31" s="18"/>
      <c r="M31" s="18"/>
      <c r="N31" s="14"/>
    </row>
    <row r="32" spans="1:14" ht="15.75" customHeight="1">
      <c r="A32" s="5" t="s">
        <v>37</v>
      </c>
      <c r="B32" s="5" t="s">
        <v>63</v>
      </c>
      <c r="C32" s="5" t="s">
        <v>167</v>
      </c>
      <c r="D32" s="14"/>
      <c r="E32" s="5" t="str">
        <f t="array" ref="E32">IF(D32="","",IFERROR(INDEX('Auditor Pool'!$B$4:$B$71,MATCH(D32,'Auditor Pool'!$D$4:$D$71,0)),"Not in pool"))</f>
        <v/>
      </c>
      <c r="F32" s="5" t="str">
        <f t="array" ref="F32">IF(D32="","",IFERROR(INDEX('Auditor Pool'!$C$4:$C$71,MATCH(D32,'Auditor Pool'!$D$4:$D$71,0)),"Not in pool"))</f>
        <v/>
      </c>
      <c r="G32" s="14"/>
      <c r="H32" s="5" t="str">
        <f t="array" ref="H32">IF(G32="","",IFERROR(INDEX('Auditor Pool'!$B$4:$B$71,MATCH(G32,'Auditor Pool'!$D$4:$D$71,0)),"Not in pool"))</f>
        <v/>
      </c>
      <c r="I32" s="5" t="str">
        <f t="array" ref="I32">IF(G32="","",IFERROR(INDEX('Auditor Pool'!$C$4:$C$71,MATCH(G32,'Auditor Pool'!$D$4:$D$71,0)),"Not in pool"))</f>
        <v/>
      </c>
      <c r="J32" s="5" t="str">
        <f t="shared" si="0"/>
        <v/>
      </c>
      <c r="K32" s="18"/>
      <c r="L32" s="18"/>
      <c r="M32" s="18"/>
      <c r="N32" s="14"/>
    </row>
    <row r="33" spans="1:14" ht="15.75" customHeight="1">
      <c r="A33" s="5" t="s">
        <v>37</v>
      </c>
      <c r="B33" s="5" t="s">
        <v>63</v>
      </c>
      <c r="C33" s="5" t="s">
        <v>353</v>
      </c>
      <c r="D33" s="14"/>
      <c r="E33" s="5" t="str">
        <f t="array" ref="E33">IF(D33="","",IFERROR(INDEX('Auditor Pool'!$B$4:$B$71,MATCH(D33,'Auditor Pool'!$D$4:$D$71,0)),"Not in pool"))</f>
        <v/>
      </c>
      <c r="F33" s="5" t="str">
        <f t="array" ref="F33">IF(D33="","",IFERROR(INDEX('Auditor Pool'!$C$4:$C$71,MATCH(D33,'Auditor Pool'!$D$4:$D$71,0)),"Not in pool"))</f>
        <v/>
      </c>
      <c r="G33" s="14"/>
      <c r="H33" s="5" t="str">
        <f t="array" ref="H33">IF(G33="","",IFERROR(INDEX('Auditor Pool'!$B$4:$B$71,MATCH(G33,'Auditor Pool'!$D$4:$D$71,0)),"Not in pool"))</f>
        <v/>
      </c>
      <c r="I33" s="5" t="str">
        <f t="array" ref="I33">IF(G33="","",IFERROR(INDEX('Auditor Pool'!$C$4:$C$71,MATCH(G33,'Auditor Pool'!$D$4:$D$71,0)),"Not in pool"))</f>
        <v/>
      </c>
      <c r="J33" s="5" t="str">
        <f t="shared" si="0"/>
        <v/>
      </c>
      <c r="K33" s="18"/>
      <c r="L33" s="18"/>
      <c r="M33" s="18"/>
      <c r="N33" s="14"/>
    </row>
    <row r="34" spans="1:14" ht="15.75" customHeight="1">
      <c r="A34" s="5" t="s">
        <v>37</v>
      </c>
      <c r="B34" s="5" t="s">
        <v>63</v>
      </c>
      <c r="C34" s="5" t="s">
        <v>363</v>
      </c>
      <c r="D34" s="14"/>
      <c r="E34" s="5" t="str">
        <f t="array" ref="E34">IF(D34="","",IFERROR(INDEX('Auditor Pool'!$B$4:$B$71,MATCH(D34,'Auditor Pool'!$D$4:$D$71,0)),"Not in pool"))</f>
        <v/>
      </c>
      <c r="F34" s="5" t="str">
        <f t="array" ref="F34">IF(D34="","",IFERROR(INDEX('Auditor Pool'!$C$4:$C$71,MATCH(D34,'Auditor Pool'!$D$4:$D$71,0)),"Not in pool"))</f>
        <v/>
      </c>
      <c r="G34" s="14"/>
      <c r="H34" s="5" t="str">
        <f t="array" ref="H34">IF(G34="","",IFERROR(INDEX('Auditor Pool'!$B$4:$B$71,MATCH(G34,'Auditor Pool'!$D$4:$D$71,0)),"Not in pool"))</f>
        <v/>
      </c>
      <c r="I34" s="5" t="str">
        <f t="array" ref="I34">IF(G34="","",IFERROR(INDEX('Auditor Pool'!$C$4:$C$71,MATCH(G34,'Auditor Pool'!$D$4:$D$71,0)),"Not in pool"))</f>
        <v/>
      </c>
      <c r="J34" s="5" t="str">
        <f t="shared" si="0"/>
        <v/>
      </c>
      <c r="K34" s="18"/>
      <c r="L34" s="18"/>
      <c r="M34" s="18"/>
      <c r="N34" s="14"/>
    </row>
    <row r="35" spans="1:14" ht="15.75" customHeight="1">
      <c r="A35" s="5" t="s">
        <v>61</v>
      </c>
      <c r="B35" s="5" t="s">
        <v>34</v>
      </c>
      <c r="C35" s="5" t="s">
        <v>82</v>
      </c>
      <c r="D35" s="14"/>
      <c r="E35" s="5" t="str">
        <f t="array" ref="E35">IF(D35="","",IFERROR(INDEX('Auditor Pool'!$B$4:$B$71,MATCH(D35,'Auditor Pool'!$D$4:$D$71,0)),"Not in pool"))</f>
        <v/>
      </c>
      <c r="F35" s="5" t="str">
        <f t="array" ref="F35">IF(D35="","",IFERROR(INDEX('Auditor Pool'!$C$4:$C$71,MATCH(D35,'Auditor Pool'!$D$4:$D$71,0)),"Not in pool"))</f>
        <v/>
      </c>
      <c r="G35" s="14"/>
      <c r="H35" s="5" t="str">
        <f t="array" ref="H35">IF(G35="","",IFERROR(INDEX('Auditor Pool'!$B$4:$B$71,MATCH(G35,'Auditor Pool'!$D$4:$D$71,0)),"Not in pool"))</f>
        <v/>
      </c>
      <c r="I35" s="5" t="str">
        <f t="array" ref="I35">IF(G35="","",IFERROR(INDEX('Auditor Pool'!$C$4:$C$71,MATCH(G35,'Auditor Pool'!$D$4:$D$71,0)),"Not in pool"))</f>
        <v/>
      </c>
      <c r="J35" s="5" t="str">
        <f t="shared" si="0"/>
        <v/>
      </c>
      <c r="K35" s="18"/>
      <c r="L35" s="18"/>
      <c r="M35" s="18"/>
      <c r="N35" s="14"/>
    </row>
    <row r="36" spans="1:14" ht="15.75" customHeight="1">
      <c r="A36" s="5" t="s">
        <v>61</v>
      </c>
      <c r="B36" s="5" t="s">
        <v>34</v>
      </c>
      <c r="C36" s="5" t="s">
        <v>107</v>
      </c>
      <c r="D36" s="14"/>
      <c r="E36" s="5" t="str">
        <f t="array" ref="E36">IF(D36="","",IFERROR(INDEX('Auditor Pool'!$B$4:$B$71,MATCH(D36,'Auditor Pool'!$D$4:$D$71,0)),"Not in pool"))</f>
        <v/>
      </c>
      <c r="F36" s="5" t="str">
        <f t="array" ref="F36">IF(D36="","",IFERROR(INDEX('Auditor Pool'!$C$4:$C$71,MATCH(D36,'Auditor Pool'!$D$4:$D$71,0)),"Not in pool"))</f>
        <v/>
      </c>
      <c r="G36" s="14"/>
      <c r="H36" s="5" t="str">
        <f t="array" ref="H36">IF(G36="","",IFERROR(INDEX('Auditor Pool'!$B$4:$B$71,MATCH(G36,'Auditor Pool'!$D$4:$D$71,0)),"Not in pool"))</f>
        <v/>
      </c>
      <c r="I36" s="5" t="str">
        <f t="array" ref="I36">IF(G36="","",IFERROR(INDEX('Auditor Pool'!$C$4:$C$71,MATCH(G36,'Auditor Pool'!$D$4:$D$71,0)),"Not in pool"))</f>
        <v/>
      </c>
      <c r="J36" s="5" t="str">
        <f t="shared" si="0"/>
        <v/>
      </c>
      <c r="K36" s="18"/>
      <c r="L36" s="18"/>
      <c r="M36" s="18"/>
      <c r="N36" s="14"/>
    </row>
    <row r="37" spans="1:14" ht="15.75" customHeight="1">
      <c r="A37" s="5" t="s">
        <v>61</v>
      </c>
      <c r="B37" s="5" t="s">
        <v>34</v>
      </c>
      <c r="C37" s="5" t="s">
        <v>109</v>
      </c>
      <c r="D37" s="14"/>
      <c r="E37" s="5" t="str">
        <f t="array" ref="E37">IF(D37="","",IFERROR(INDEX('Auditor Pool'!$B$4:$B$71,MATCH(D37,'Auditor Pool'!$D$4:$D$71,0)),"Not in pool"))</f>
        <v/>
      </c>
      <c r="F37" s="5" t="str">
        <f t="array" ref="F37">IF(D37="","",IFERROR(INDEX('Auditor Pool'!$C$4:$C$71,MATCH(D37,'Auditor Pool'!$D$4:$D$71,0)),"Not in pool"))</f>
        <v/>
      </c>
      <c r="G37" s="14"/>
      <c r="H37" s="5" t="str">
        <f t="array" ref="H37">IF(G37="","",IFERROR(INDEX('Auditor Pool'!$B$4:$B$71,MATCH(G37,'Auditor Pool'!$D$4:$D$71,0)),"Not in pool"))</f>
        <v/>
      </c>
      <c r="I37" s="5" t="str">
        <f t="array" ref="I37">IF(G37="","",IFERROR(INDEX('Auditor Pool'!$C$4:$C$71,MATCH(G37,'Auditor Pool'!$D$4:$D$71,0)),"Not in pool"))</f>
        <v/>
      </c>
      <c r="J37" s="5" t="str">
        <f t="shared" si="0"/>
        <v/>
      </c>
      <c r="K37" s="18"/>
      <c r="L37" s="18"/>
      <c r="M37" s="18"/>
      <c r="N37" s="14"/>
    </row>
    <row r="38" spans="1:14" ht="15.75" customHeight="1">
      <c r="A38" s="5" t="s">
        <v>61</v>
      </c>
      <c r="B38" s="5" t="s">
        <v>34</v>
      </c>
      <c r="C38" s="5" t="s">
        <v>119</v>
      </c>
      <c r="D38" s="14"/>
      <c r="E38" s="5" t="str">
        <f t="array" ref="E38">IF(D38="","",IFERROR(INDEX('Auditor Pool'!$B$4:$B$71,MATCH(D38,'Auditor Pool'!$D$4:$D$71,0)),"Not in pool"))</f>
        <v/>
      </c>
      <c r="F38" s="5" t="str">
        <f t="array" ref="F38">IF(D38="","",IFERROR(INDEX('Auditor Pool'!$C$4:$C$71,MATCH(D38,'Auditor Pool'!$D$4:$D$71,0)),"Not in pool"))</f>
        <v/>
      </c>
      <c r="G38" s="14"/>
      <c r="H38" s="5" t="str">
        <f t="array" ref="H38">IF(G38="","",IFERROR(INDEX('Auditor Pool'!$B$4:$B$71,MATCH(G38,'Auditor Pool'!$D$4:$D$71,0)),"Not in pool"))</f>
        <v/>
      </c>
      <c r="I38" s="5" t="str">
        <f t="array" ref="I38">IF(G38="","",IFERROR(INDEX('Auditor Pool'!$C$4:$C$71,MATCH(G38,'Auditor Pool'!$D$4:$D$71,0)),"Not in pool"))</f>
        <v/>
      </c>
      <c r="J38" s="5" t="str">
        <f t="shared" si="0"/>
        <v/>
      </c>
      <c r="K38" s="18"/>
      <c r="L38" s="18"/>
      <c r="M38" s="18"/>
      <c r="N38" s="14"/>
    </row>
    <row r="39" spans="1:14" ht="15.75" customHeight="1">
      <c r="A39" s="5" t="s">
        <v>61</v>
      </c>
      <c r="B39" s="5" t="s">
        <v>34</v>
      </c>
      <c r="C39" s="5" t="s">
        <v>122</v>
      </c>
      <c r="D39" s="14"/>
      <c r="E39" s="5" t="str">
        <f t="array" ref="E39">IF(D39="","",IFERROR(INDEX('Auditor Pool'!$B$4:$B$71,MATCH(D39,'Auditor Pool'!$D$4:$D$71,0)),"Not in pool"))</f>
        <v/>
      </c>
      <c r="F39" s="5" t="str">
        <f t="array" ref="F39">IF(D39="","",IFERROR(INDEX('Auditor Pool'!$C$4:$C$71,MATCH(D39,'Auditor Pool'!$D$4:$D$71,0)),"Not in pool"))</f>
        <v/>
      </c>
      <c r="G39" s="14"/>
      <c r="H39" s="5" t="str">
        <f t="array" ref="H39">IF(G39="","",IFERROR(INDEX('Auditor Pool'!$B$4:$B$71,MATCH(G39,'Auditor Pool'!$D$4:$D$71,0)),"Not in pool"))</f>
        <v/>
      </c>
      <c r="I39" s="5" t="str">
        <f t="array" ref="I39">IF(G39="","",IFERROR(INDEX('Auditor Pool'!$C$4:$C$71,MATCH(G39,'Auditor Pool'!$D$4:$D$71,0)),"Not in pool"))</f>
        <v/>
      </c>
      <c r="J39" s="5" t="str">
        <f t="shared" si="0"/>
        <v/>
      </c>
      <c r="K39" s="18"/>
      <c r="L39" s="18"/>
      <c r="M39" s="18"/>
      <c r="N39" s="14"/>
    </row>
    <row r="40" spans="1:14" ht="15.75" customHeight="1">
      <c r="A40" s="5" t="s">
        <v>61</v>
      </c>
      <c r="B40" s="5" t="s">
        <v>34</v>
      </c>
      <c r="C40" s="5" t="s">
        <v>134</v>
      </c>
      <c r="D40" s="14"/>
      <c r="E40" s="5" t="str">
        <f t="array" ref="E40">IF(D40="","",IFERROR(INDEX('Auditor Pool'!$B$4:$B$71,MATCH(D40,'Auditor Pool'!$D$4:$D$71,0)),"Not in pool"))</f>
        <v/>
      </c>
      <c r="F40" s="5" t="str">
        <f t="array" ref="F40">IF(D40="","",IFERROR(INDEX('Auditor Pool'!$C$4:$C$71,MATCH(D40,'Auditor Pool'!$D$4:$D$71,0)),"Not in pool"))</f>
        <v/>
      </c>
      <c r="G40" s="14"/>
      <c r="H40" s="5" t="str">
        <f t="array" ref="H40">IF(G40="","",IFERROR(INDEX('Auditor Pool'!$B$4:$B$71,MATCH(G40,'Auditor Pool'!$D$4:$D$71,0)),"Not in pool"))</f>
        <v/>
      </c>
      <c r="I40" s="5" t="str">
        <f t="array" ref="I40">IF(G40="","",IFERROR(INDEX('Auditor Pool'!$C$4:$C$71,MATCH(G40,'Auditor Pool'!$D$4:$D$71,0)),"Not in pool"))</f>
        <v/>
      </c>
      <c r="J40" s="5" t="str">
        <f t="shared" si="0"/>
        <v/>
      </c>
      <c r="K40" s="18"/>
      <c r="L40" s="18"/>
      <c r="M40" s="18"/>
      <c r="N40" s="14"/>
    </row>
    <row r="41" spans="1:14" ht="15.75" customHeight="1">
      <c r="A41" s="5" t="s">
        <v>61</v>
      </c>
      <c r="B41" s="5" t="s">
        <v>34</v>
      </c>
      <c r="C41" s="5" t="s">
        <v>143</v>
      </c>
      <c r="D41" s="14"/>
      <c r="E41" s="5" t="str">
        <f t="array" ref="E41">IF(D41="","",IFERROR(INDEX('Auditor Pool'!$B$4:$B$71,MATCH(D41,'Auditor Pool'!$D$4:$D$71,0)),"Not in pool"))</f>
        <v/>
      </c>
      <c r="F41" s="5" t="str">
        <f t="array" ref="F41">IF(D41="","",IFERROR(INDEX('Auditor Pool'!$C$4:$C$71,MATCH(D41,'Auditor Pool'!$D$4:$D$71,0)),"Not in pool"))</f>
        <v/>
      </c>
      <c r="G41" s="14"/>
      <c r="H41" s="5" t="str">
        <f t="array" ref="H41">IF(G41="","",IFERROR(INDEX('Auditor Pool'!$B$4:$B$71,MATCH(G41,'Auditor Pool'!$D$4:$D$71,0)),"Not in pool"))</f>
        <v/>
      </c>
      <c r="I41" s="5" t="str">
        <f t="array" ref="I41">IF(G41="","",IFERROR(INDEX('Auditor Pool'!$C$4:$C$71,MATCH(G41,'Auditor Pool'!$D$4:$D$71,0)),"Not in pool"))</f>
        <v/>
      </c>
      <c r="J41" s="5" t="str">
        <f t="shared" si="0"/>
        <v/>
      </c>
      <c r="K41" s="18"/>
      <c r="L41" s="18"/>
      <c r="M41" s="18"/>
      <c r="N41" s="14"/>
    </row>
    <row r="42" spans="1:14" ht="15.75" customHeight="1">
      <c r="A42" s="5" t="s">
        <v>61</v>
      </c>
      <c r="B42" s="5" t="s">
        <v>34</v>
      </c>
      <c r="C42" s="5" t="s">
        <v>155</v>
      </c>
      <c r="D42" s="14"/>
      <c r="E42" s="5" t="str">
        <f t="array" ref="E42">IF(D42="","",IFERROR(INDEX('Auditor Pool'!$B$4:$B$71,MATCH(D42,'Auditor Pool'!$D$4:$D$71,0)),"Not in pool"))</f>
        <v/>
      </c>
      <c r="F42" s="5" t="str">
        <f t="array" ref="F42">IF(D42="","",IFERROR(INDEX('Auditor Pool'!$C$4:$C$71,MATCH(D42,'Auditor Pool'!$D$4:$D$71,0)),"Not in pool"))</f>
        <v/>
      </c>
      <c r="G42" s="14"/>
      <c r="H42" s="5" t="str">
        <f t="array" ref="H42">IF(G42="","",IFERROR(INDEX('Auditor Pool'!$B$4:$B$71,MATCH(G42,'Auditor Pool'!$D$4:$D$71,0)),"Not in pool"))</f>
        <v/>
      </c>
      <c r="I42" s="5" t="str">
        <f t="array" ref="I42">IF(G42="","",IFERROR(INDEX('Auditor Pool'!$C$4:$C$71,MATCH(G42,'Auditor Pool'!$D$4:$D$71,0)),"Not in pool"))</f>
        <v/>
      </c>
      <c r="J42" s="5" t="str">
        <f t="shared" si="0"/>
        <v/>
      </c>
      <c r="K42" s="18"/>
      <c r="L42" s="18"/>
      <c r="M42" s="18"/>
      <c r="N42" s="14"/>
    </row>
    <row r="43" spans="1:14" ht="15.75" customHeight="1">
      <c r="A43" s="5" t="s">
        <v>61</v>
      </c>
      <c r="B43" s="5" t="s">
        <v>34</v>
      </c>
      <c r="C43" s="5" t="s">
        <v>167</v>
      </c>
      <c r="D43" s="14"/>
      <c r="E43" s="5" t="str">
        <f t="array" ref="E43">IF(D43="","",IFERROR(INDEX('Auditor Pool'!$B$4:$B$71,MATCH(D43,'Auditor Pool'!$D$4:$D$71,0)),"Not in pool"))</f>
        <v/>
      </c>
      <c r="F43" s="5" t="str">
        <f t="array" ref="F43">IF(D43="","",IFERROR(INDEX('Auditor Pool'!$C$4:$C$71,MATCH(D43,'Auditor Pool'!$D$4:$D$71,0)),"Not in pool"))</f>
        <v/>
      </c>
      <c r="G43" s="14"/>
      <c r="H43" s="5" t="str">
        <f t="array" ref="H43">IF(G43="","",IFERROR(INDEX('Auditor Pool'!$B$4:$B$71,MATCH(G43,'Auditor Pool'!$D$4:$D$71,0)),"Not in pool"))</f>
        <v/>
      </c>
      <c r="I43" s="5" t="str">
        <f t="array" ref="I43">IF(G43="","",IFERROR(INDEX('Auditor Pool'!$C$4:$C$71,MATCH(G43,'Auditor Pool'!$D$4:$D$71,0)),"Not in pool"))</f>
        <v/>
      </c>
      <c r="J43" s="5" t="str">
        <f t="shared" si="0"/>
        <v/>
      </c>
      <c r="K43" s="18"/>
      <c r="L43" s="18"/>
      <c r="M43" s="18"/>
      <c r="N43" s="14"/>
    </row>
    <row r="44" spans="1:14" ht="15.75" customHeight="1">
      <c r="A44" s="5" t="s">
        <v>61</v>
      </c>
      <c r="B44" s="5" t="s">
        <v>62</v>
      </c>
      <c r="C44" s="5" t="s">
        <v>82</v>
      </c>
      <c r="D44" s="14"/>
      <c r="E44" s="5" t="str">
        <f t="array" ref="E44">IF(D44="","",IFERROR(INDEX('Auditor Pool'!$B$4:$B$71,MATCH(D44,'Auditor Pool'!$D$4:$D$71,0)),"Not in pool"))</f>
        <v/>
      </c>
      <c r="F44" s="5" t="str">
        <f t="array" ref="F44">IF(D44="","",IFERROR(INDEX('Auditor Pool'!$C$4:$C$71,MATCH(D44,'Auditor Pool'!$D$4:$D$71,0)),"Not in pool"))</f>
        <v/>
      </c>
      <c r="G44" s="14"/>
      <c r="H44" s="5" t="str">
        <f t="array" ref="H44">IF(G44="","",IFERROR(INDEX('Auditor Pool'!$B$4:$B$71,MATCH(G44,'Auditor Pool'!$D$4:$D$71,0)),"Not in pool"))</f>
        <v/>
      </c>
      <c r="I44" s="5" t="str">
        <f t="array" ref="I44">IF(G44="","",IFERROR(INDEX('Auditor Pool'!$C$4:$C$71,MATCH(G44,'Auditor Pool'!$D$4:$D$71,0)),"Not in pool"))</f>
        <v/>
      </c>
      <c r="J44" s="5" t="str">
        <f t="shared" si="0"/>
        <v/>
      </c>
      <c r="K44" s="18"/>
      <c r="L44" s="18"/>
      <c r="M44" s="18"/>
      <c r="N44" s="14"/>
    </row>
    <row r="45" spans="1:14" ht="15.75" customHeight="1">
      <c r="A45" s="5" t="s">
        <v>61</v>
      </c>
      <c r="B45" s="5" t="s">
        <v>62</v>
      </c>
      <c r="C45" s="5" t="s">
        <v>107</v>
      </c>
      <c r="D45" s="14"/>
      <c r="E45" s="5" t="str">
        <f t="array" ref="E45">IF(D45="","",IFERROR(INDEX('Auditor Pool'!$B$4:$B$71,MATCH(D45,'Auditor Pool'!$D$4:$D$71,0)),"Not in pool"))</f>
        <v/>
      </c>
      <c r="F45" s="5" t="str">
        <f t="array" ref="F45">IF(D45="","",IFERROR(INDEX('Auditor Pool'!$C$4:$C$71,MATCH(D45,'Auditor Pool'!$D$4:$D$71,0)),"Not in pool"))</f>
        <v/>
      </c>
      <c r="G45" s="14"/>
      <c r="H45" s="5" t="str">
        <f t="array" ref="H45">IF(G45="","",IFERROR(INDEX('Auditor Pool'!$B$4:$B$71,MATCH(G45,'Auditor Pool'!$D$4:$D$71,0)),"Not in pool"))</f>
        <v/>
      </c>
      <c r="I45" s="5" t="str">
        <f t="array" ref="I45">IF(G45="","",IFERROR(INDEX('Auditor Pool'!$C$4:$C$71,MATCH(G45,'Auditor Pool'!$D$4:$D$71,0)),"Not in pool"))</f>
        <v/>
      </c>
      <c r="J45" s="5" t="str">
        <f t="shared" si="0"/>
        <v/>
      </c>
      <c r="K45" s="18"/>
      <c r="L45" s="18"/>
      <c r="M45" s="18"/>
      <c r="N45" s="14"/>
    </row>
    <row r="46" spans="1:14" ht="15.75" customHeight="1">
      <c r="A46" s="5" t="s">
        <v>61</v>
      </c>
      <c r="B46" s="5" t="s">
        <v>62</v>
      </c>
      <c r="C46" s="5" t="s">
        <v>109</v>
      </c>
      <c r="D46" s="14"/>
      <c r="E46" s="5" t="str">
        <f t="array" ref="E46">IF(D46="","",IFERROR(INDEX('Auditor Pool'!$B$4:$B$71,MATCH(D46,'Auditor Pool'!$D$4:$D$71,0)),"Not in pool"))</f>
        <v/>
      </c>
      <c r="F46" s="5" t="str">
        <f t="array" ref="F46">IF(D46="","",IFERROR(INDEX('Auditor Pool'!$C$4:$C$71,MATCH(D46,'Auditor Pool'!$D$4:$D$71,0)),"Not in pool"))</f>
        <v/>
      </c>
      <c r="G46" s="14"/>
      <c r="H46" s="5" t="str">
        <f t="array" ref="H46">IF(G46="","",IFERROR(INDEX('Auditor Pool'!$B$4:$B$71,MATCH(G46,'Auditor Pool'!$D$4:$D$71,0)),"Not in pool"))</f>
        <v/>
      </c>
      <c r="I46" s="5" t="str">
        <f t="array" ref="I46">IF(G46="","",IFERROR(INDEX('Auditor Pool'!$C$4:$C$71,MATCH(G46,'Auditor Pool'!$D$4:$D$71,0)),"Not in pool"))</f>
        <v/>
      </c>
      <c r="J46" s="5" t="str">
        <f t="shared" si="0"/>
        <v/>
      </c>
      <c r="K46" s="18"/>
      <c r="L46" s="18"/>
      <c r="M46" s="18"/>
      <c r="N46" s="14"/>
    </row>
    <row r="47" spans="1:14" ht="15.75" customHeight="1">
      <c r="A47" s="5" t="s">
        <v>61</v>
      </c>
      <c r="B47" s="5" t="s">
        <v>62</v>
      </c>
      <c r="C47" s="5" t="s">
        <v>119</v>
      </c>
      <c r="D47" s="14"/>
      <c r="E47" s="5" t="str">
        <f t="array" ref="E47">IF(D47="","",IFERROR(INDEX('Auditor Pool'!$B$4:$B$71,MATCH(D47,'Auditor Pool'!$D$4:$D$71,0)),"Not in pool"))</f>
        <v/>
      </c>
      <c r="F47" s="5" t="str">
        <f t="array" ref="F47">IF(D47="","",IFERROR(INDEX('Auditor Pool'!$C$4:$C$71,MATCH(D47,'Auditor Pool'!$D$4:$D$71,0)),"Not in pool"))</f>
        <v/>
      </c>
      <c r="G47" s="14"/>
      <c r="H47" s="5" t="str">
        <f t="array" ref="H47">IF(G47="","",IFERROR(INDEX('Auditor Pool'!$B$4:$B$71,MATCH(G47,'Auditor Pool'!$D$4:$D$71,0)),"Not in pool"))</f>
        <v/>
      </c>
      <c r="I47" s="5" t="str">
        <f t="array" ref="I47">IF(G47="","",IFERROR(INDEX('Auditor Pool'!$C$4:$C$71,MATCH(G47,'Auditor Pool'!$D$4:$D$71,0)),"Not in pool"))</f>
        <v/>
      </c>
      <c r="J47" s="5" t="str">
        <f t="shared" si="0"/>
        <v/>
      </c>
      <c r="K47" s="18"/>
      <c r="L47" s="18"/>
      <c r="M47" s="18"/>
      <c r="N47" s="14"/>
    </row>
    <row r="48" spans="1:14" ht="15.75" customHeight="1">
      <c r="A48" s="5" t="s">
        <v>61</v>
      </c>
      <c r="B48" s="5" t="s">
        <v>62</v>
      </c>
      <c r="C48" s="5" t="s">
        <v>210</v>
      </c>
      <c r="D48" s="14"/>
      <c r="E48" s="5" t="str">
        <f t="array" ref="E48">IF(D48="","",IFERROR(INDEX('Auditor Pool'!$B$4:$B$71,MATCH(D48,'Auditor Pool'!$D$4:$D$71,0)),"Not in pool"))</f>
        <v/>
      </c>
      <c r="F48" s="5" t="str">
        <f t="array" ref="F48">IF(D48="","",IFERROR(INDEX('Auditor Pool'!$C$4:$C$71,MATCH(D48,'Auditor Pool'!$D$4:$D$71,0)),"Not in pool"))</f>
        <v/>
      </c>
      <c r="G48" s="14"/>
      <c r="H48" s="5" t="str">
        <f t="array" ref="H48">IF(G48="","",IFERROR(INDEX('Auditor Pool'!$B$4:$B$71,MATCH(G48,'Auditor Pool'!$D$4:$D$71,0)),"Not in pool"))</f>
        <v/>
      </c>
      <c r="I48" s="5" t="str">
        <f t="array" ref="I48">IF(G48="","",IFERROR(INDEX('Auditor Pool'!$C$4:$C$71,MATCH(G48,'Auditor Pool'!$D$4:$D$71,0)),"Not in pool"))</f>
        <v/>
      </c>
      <c r="J48" s="5" t="str">
        <f t="shared" si="0"/>
        <v/>
      </c>
      <c r="K48" s="18"/>
      <c r="L48" s="18"/>
      <c r="M48" s="18"/>
      <c r="N48" s="14"/>
    </row>
    <row r="49" spans="1:14" ht="15.75" customHeight="1">
      <c r="A49" s="5" t="s">
        <v>61</v>
      </c>
      <c r="B49" s="5" t="s">
        <v>62</v>
      </c>
      <c r="C49" s="5" t="s">
        <v>122</v>
      </c>
      <c r="D49" s="14"/>
      <c r="E49" s="5" t="str">
        <f t="array" ref="E49">IF(D49="","",IFERROR(INDEX('Auditor Pool'!$B$4:$B$71,MATCH(D49,'Auditor Pool'!$D$4:$D$71,0)),"Not in pool"))</f>
        <v/>
      </c>
      <c r="F49" s="5" t="str">
        <f t="array" ref="F49">IF(D49="","",IFERROR(INDEX('Auditor Pool'!$C$4:$C$71,MATCH(D49,'Auditor Pool'!$D$4:$D$71,0)),"Not in pool"))</f>
        <v/>
      </c>
      <c r="G49" s="14"/>
      <c r="H49" s="5" t="str">
        <f t="array" ref="H49">IF(G49="","",IFERROR(INDEX('Auditor Pool'!$B$4:$B$71,MATCH(G49,'Auditor Pool'!$D$4:$D$71,0)),"Not in pool"))</f>
        <v/>
      </c>
      <c r="I49" s="5" t="str">
        <f t="array" ref="I49">IF(G49="","",IFERROR(INDEX('Auditor Pool'!$C$4:$C$71,MATCH(G49,'Auditor Pool'!$D$4:$D$71,0)),"Not in pool"))</f>
        <v/>
      </c>
      <c r="J49" s="5" t="str">
        <f t="shared" si="0"/>
        <v/>
      </c>
      <c r="K49" s="18"/>
      <c r="L49" s="18"/>
      <c r="M49" s="18"/>
      <c r="N49" s="14"/>
    </row>
    <row r="50" spans="1:14" ht="15.75" customHeight="1">
      <c r="A50" s="5" t="s">
        <v>61</v>
      </c>
      <c r="B50" s="5" t="s">
        <v>62</v>
      </c>
      <c r="C50" s="5" t="s">
        <v>134</v>
      </c>
      <c r="D50" s="14"/>
      <c r="E50" s="5" t="str">
        <f t="array" ref="E50">IF(D50="","",IFERROR(INDEX('Auditor Pool'!$B$4:$B$71,MATCH(D50,'Auditor Pool'!$D$4:$D$71,0)),"Not in pool"))</f>
        <v/>
      </c>
      <c r="F50" s="5" t="str">
        <f t="array" ref="F50">IF(D50="","",IFERROR(INDEX('Auditor Pool'!$C$4:$C$71,MATCH(D50,'Auditor Pool'!$D$4:$D$71,0)),"Not in pool"))</f>
        <v/>
      </c>
      <c r="G50" s="14"/>
      <c r="H50" s="5" t="str">
        <f t="array" ref="H50">IF(G50="","",IFERROR(INDEX('Auditor Pool'!$B$4:$B$71,MATCH(G50,'Auditor Pool'!$D$4:$D$71,0)),"Not in pool"))</f>
        <v/>
      </c>
      <c r="I50" s="5" t="str">
        <f t="array" ref="I50">IF(G50="","",IFERROR(INDEX('Auditor Pool'!$C$4:$C$71,MATCH(G50,'Auditor Pool'!$D$4:$D$71,0)),"Not in pool"))</f>
        <v/>
      </c>
      <c r="J50" s="5" t="str">
        <f t="shared" si="0"/>
        <v/>
      </c>
      <c r="K50" s="18"/>
      <c r="L50" s="18"/>
      <c r="M50" s="18"/>
      <c r="N50" s="14"/>
    </row>
    <row r="51" spans="1:14" ht="15.75" customHeight="1">
      <c r="A51" s="5" t="s">
        <v>61</v>
      </c>
      <c r="B51" s="5" t="s">
        <v>62</v>
      </c>
      <c r="C51" s="5" t="s">
        <v>143</v>
      </c>
      <c r="D51" s="14"/>
      <c r="E51" s="5" t="str">
        <f t="array" ref="E51">IF(D51="","",IFERROR(INDEX('Auditor Pool'!$B$4:$B$71,MATCH(D51,'Auditor Pool'!$D$4:$D$71,0)),"Not in pool"))</f>
        <v/>
      </c>
      <c r="F51" s="5" t="str">
        <f t="array" ref="F51">IF(D51="","",IFERROR(INDEX('Auditor Pool'!$C$4:$C$71,MATCH(D51,'Auditor Pool'!$D$4:$D$71,0)),"Not in pool"))</f>
        <v/>
      </c>
      <c r="G51" s="14"/>
      <c r="H51" s="5" t="str">
        <f t="array" ref="H51">IF(G51="","",IFERROR(INDEX('Auditor Pool'!$B$4:$B$71,MATCH(G51,'Auditor Pool'!$D$4:$D$71,0)),"Not in pool"))</f>
        <v/>
      </c>
      <c r="I51" s="5" t="str">
        <f t="array" ref="I51">IF(G51="","",IFERROR(INDEX('Auditor Pool'!$C$4:$C$71,MATCH(G51,'Auditor Pool'!$D$4:$D$71,0)),"Not in pool"))</f>
        <v/>
      </c>
      <c r="J51" s="5" t="str">
        <f t="shared" si="0"/>
        <v/>
      </c>
      <c r="K51" s="18"/>
      <c r="L51" s="18"/>
      <c r="M51" s="18"/>
      <c r="N51" s="14"/>
    </row>
    <row r="52" spans="1:14" ht="15.75" customHeight="1">
      <c r="A52" s="5" t="s">
        <v>61</v>
      </c>
      <c r="B52" s="5" t="s">
        <v>62</v>
      </c>
      <c r="C52" s="5" t="s">
        <v>167</v>
      </c>
      <c r="D52" s="14"/>
      <c r="E52" s="5" t="str">
        <f t="array" ref="E52">IF(D52="","",IFERROR(INDEX('Auditor Pool'!$B$4:$B$71,MATCH(D52,'Auditor Pool'!$D$4:$D$71,0)),"Not in pool"))</f>
        <v/>
      </c>
      <c r="F52" s="5" t="str">
        <f t="array" ref="F52">IF(D52="","",IFERROR(INDEX('Auditor Pool'!$C$4:$C$71,MATCH(D52,'Auditor Pool'!$D$4:$D$71,0)),"Not in pool"))</f>
        <v/>
      </c>
      <c r="G52" s="14"/>
      <c r="H52" s="5" t="str">
        <f t="array" ref="H52">IF(G52="","",IFERROR(INDEX('Auditor Pool'!$B$4:$B$71,MATCH(G52,'Auditor Pool'!$D$4:$D$71,0)),"Not in pool"))</f>
        <v/>
      </c>
      <c r="I52" s="5" t="str">
        <f t="array" ref="I52">IF(G52="","",IFERROR(INDEX('Auditor Pool'!$C$4:$C$71,MATCH(G52,'Auditor Pool'!$D$4:$D$71,0)),"Not in pool"))</f>
        <v/>
      </c>
      <c r="J52" s="5" t="str">
        <f t="shared" si="0"/>
        <v/>
      </c>
      <c r="K52" s="18"/>
      <c r="L52" s="18"/>
      <c r="M52" s="18"/>
      <c r="N52" s="14"/>
    </row>
    <row r="53" spans="1:14" ht="15.75" customHeight="1">
      <c r="A53" s="5" t="s">
        <v>61</v>
      </c>
      <c r="B53" s="5" t="s">
        <v>63</v>
      </c>
      <c r="C53" s="5" t="s">
        <v>82</v>
      </c>
      <c r="D53" s="14"/>
      <c r="E53" s="5" t="str">
        <f t="array" ref="E53">IF(D53="","",IFERROR(INDEX('Auditor Pool'!$B$4:$B$71,MATCH(D53,'Auditor Pool'!$D$4:$D$71,0)),"Not in pool"))</f>
        <v/>
      </c>
      <c r="F53" s="5" t="str">
        <f t="array" ref="F53">IF(D53="","",IFERROR(INDEX('Auditor Pool'!$C$4:$C$71,MATCH(D53,'Auditor Pool'!$D$4:$D$71,0)),"Not in pool"))</f>
        <v/>
      </c>
      <c r="G53" s="14"/>
      <c r="H53" s="5" t="str">
        <f t="array" ref="H53">IF(G53="","",IFERROR(INDEX('Auditor Pool'!$B$4:$B$71,MATCH(G53,'Auditor Pool'!$D$4:$D$71,0)),"Not in pool"))</f>
        <v/>
      </c>
      <c r="I53" s="5" t="str">
        <f t="array" ref="I53">IF(G53="","",IFERROR(INDEX('Auditor Pool'!$C$4:$C$71,MATCH(G53,'Auditor Pool'!$D$4:$D$71,0)),"Not in pool"))</f>
        <v/>
      </c>
      <c r="J53" s="5" t="str">
        <f t="shared" si="0"/>
        <v/>
      </c>
      <c r="K53" s="18"/>
      <c r="L53" s="18"/>
      <c r="M53" s="18"/>
      <c r="N53" s="14"/>
    </row>
    <row r="54" spans="1:14" ht="15.75" customHeight="1">
      <c r="A54" s="5" t="s">
        <v>61</v>
      </c>
      <c r="B54" s="5" t="s">
        <v>63</v>
      </c>
      <c r="C54" s="5" t="s">
        <v>107</v>
      </c>
      <c r="D54" s="14"/>
      <c r="E54" s="5" t="str">
        <f t="array" ref="E54">IF(D54="","",IFERROR(INDEX('Auditor Pool'!$B$4:$B$71,MATCH(D54,'Auditor Pool'!$D$4:$D$71,0)),"Not in pool"))</f>
        <v/>
      </c>
      <c r="F54" s="5" t="str">
        <f t="array" ref="F54">IF(D54="","",IFERROR(INDEX('Auditor Pool'!$C$4:$C$71,MATCH(D54,'Auditor Pool'!$D$4:$D$71,0)),"Not in pool"))</f>
        <v/>
      </c>
      <c r="G54" s="14"/>
      <c r="H54" s="5" t="str">
        <f t="array" ref="H54">IF(G54="","",IFERROR(INDEX('Auditor Pool'!$B$4:$B$71,MATCH(G54,'Auditor Pool'!$D$4:$D$71,0)),"Not in pool"))</f>
        <v/>
      </c>
      <c r="I54" s="5" t="str">
        <f t="array" ref="I54">IF(G54="","",IFERROR(INDEX('Auditor Pool'!$C$4:$C$71,MATCH(G54,'Auditor Pool'!$D$4:$D$71,0)),"Not in pool"))</f>
        <v/>
      </c>
      <c r="J54" s="5" t="str">
        <f t="shared" si="0"/>
        <v/>
      </c>
      <c r="K54" s="18"/>
      <c r="L54" s="18"/>
      <c r="M54" s="18"/>
      <c r="N54" s="14"/>
    </row>
    <row r="55" spans="1:14" ht="15.75" customHeight="1">
      <c r="A55" s="5" t="s">
        <v>61</v>
      </c>
      <c r="B55" s="5" t="s">
        <v>63</v>
      </c>
      <c r="C55" s="5" t="s">
        <v>109</v>
      </c>
      <c r="D55" s="14"/>
      <c r="E55" s="5" t="str">
        <f t="array" ref="E55">IF(D55="","",IFERROR(INDEX('Auditor Pool'!$B$4:$B$71,MATCH(D55,'Auditor Pool'!$D$4:$D$71,0)),"Not in pool"))</f>
        <v/>
      </c>
      <c r="F55" s="5" t="str">
        <f t="array" ref="F55">IF(D55="","",IFERROR(INDEX('Auditor Pool'!$C$4:$C$71,MATCH(D55,'Auditor Pool'!$D$4:$D$71,0)),"Not in pool"))</f>
        <v/>
      </c>
      <c r="G55" s="14"/>
      <c r="H55" s="5" t="str">
        <f t="array" ref="H55">IF(G55="","",IFERROR(INDEX('Auditor Pool'!$B$4:$B$71,MATCH(G55,'Auditor Pool'!$D$4:$D$71,0)),"Not in pool"))</f>
        <v/>
      </c>
      <c r="I55" s="5" t="str">
        <f t="array" ref="I55">IF(G55="","",IFERROR(INDEX('Auditor Pool'!$C$4:$C$71,MATCH(G55,'Auditor Pool'!$D$4:$D$71,0)),"Not in pool"))</f>
        <v/>
      </c>
      <c r="J55" s="5" t="str">
        <f t="shared" si="0"/>
        <v/>
      </c>
      <c r="K55" s="18"/>
      <c r="L55" s="18"/>
      <c r="M55" s="18"/>
      <c r="N55" s="14"/>
    </row>
    <row r="56" spans="1:14" ht="15.75" customHeight="1">
      <c r="A56" s="5" t="s">
        <v>61</v>
      </c>
      <c r="B56" s="5" t="s">
        <v>63</v>
      </c>
      <c r="C56" s="5" t="s">
        <v>119</v>
      </c>
      <c r="D56" s="14"/>
      <c r="E56" s="5" t="str">
        <f t="array" ref="E56">IF(D56="","",IFERROR(INDEX('Auditor Pool'!$B$4:$B$71,MATCH(D56,'Auditor Pool'!$D$4:$D$71,0)),"Not in pool"))</f>
        <v/>
      </c>
      <c r="F56" s="5" t="str">
        <f t="array" ref="F56">IF(D56="","",IFERROR(INDEX('Auditor Pool'!$C$4:$C$71,MATCH(D56,'Auditor Pool'!$D$4:$D$71,0)),"Not in pool"))</f>
        <v/>
      </c>
      <c r="G56" s="14"/>
      <c r="H56" s="5" t="str">
        <f t="array" ref="H56">IF(G56="","",IFERROR(INDEX('Auditor Pool'!$B$4:$B$71,MATCH(G56,'Auditor Pool'!$D$4:$D$71,0)),"Not in pool"))</f>
        <v/>
      </c>
      <c r="I56" s="5" t="str">
        <f t="array" ref="I56">IF(G56="","",IFERROR(INDEX('Auditor Pool'!$C$4:$C$71,MATCH(G56,'Auditor Pool'!$D$4:$D$71,0)),"Not in pool"))</f>
        <v/>
      </c>
      <c r="J56" s="5" t="str">
        <f t="shared" si="0"/>
        <v/>
      </c>
      <c r="K56" s="18"/>
      <c r="L56" s="18"/>
      <c r="M56" s="18"/>
      <c r="N56" s="14"/>
    </row>
    <row r="57" spans="1:14" ht="15.75" customHeight="1">
      <c r="A57" s="5" t="s">
        <v>61</v>
      </c>
      <c r="B57" s="5" t="s">
        <v>63</v>
      </c>
      <c r="C57" s="5" t="s">
        <v>210</v>
      </c>
      <c r="D57" s="14"/>
      <c r="E57" s="5" t="str">
        <f t="array" ref="E57">IF(D57="","",IFERROR(INDEX('Auditor Pool'!$B$4:$B$71,MATCH(D57,'Auditor Pool'!$D$4:$D$71,0)),"Not in pool"))</f>
        <v/>
      </c>
      <c r="F57" s="5" t="str">
        <f t="array" ref="F57">IF(D57="","",IFERROR(INDEX('Auditor Pool'!$C$4:$C$71,MATCH(D57,'Auditor Pool'!$D$4:$D$71,0)),"Not in pool"))</f>
        <v/>
      </c>
      <c r="G57" s="14"/>
      <c r="H57" s="5" t="str">
        <f t="array" ref="H57">IF(G57="","",IFERROR(INDEX('Auditor Pool'!$B$4:$B$71,MATCH(G57,'Auditor Pool'!$D$4:$D$71,0)),"Not in pool"))</f>
        <v/>
      </c>
      <c r="I57" s="5" t="str">
        <f t="array" ref="I57">IF(G57="","",IFERROR(INDEX('Auditor Pool'!$C$4:$C$71,MATCH(G57,'Auditor Pool'!$D$4:$D$71,0)),"Not in pool"))</f>
        <v/>
      </c>
      <c r="J57" s="5" t="str">
        <f t="shared" si="0"/>
        <v/>
      </c>
      <c r="K57" s="18"/>
      <c r="L57" s="18"/>
      <c r="M57" s="18"/>
      <c r="N57" s="14"/>
    </row>
    <row r="58" spans="1:14" ht="15.75" customHeight="1">
      <c r="A58" s="5" t="s">
        <v>61</v>
      </c>
      <c r="B58" s="5" t="s">
        <v>63</v>
      </c>
      <c r="C58" s="5" t="s">
        <v>122</v>
      </c>
      <c r="D58" s="14"/>
      <c r="E58" s="5" t="str">
        <f t="array" ref="E58">IF(D58="","",IFERROR(INDEX('Auditor Pool'!$B$4:$B$71,MATCH(D58,'Auditor Pool'!$D$4:$D$71,0)),"Not in pool"))</f>
        <v/>
      </c>
      <c r="F58" s="5" t="str">
        <f t="array" ref="F58">IF(D58="","",IFERROR(INDEX('Auditor Pool'!$C$4:$C$71,MATCH(D58,'Auditor Pool'!$D$4:$D$71,0)),"Not in pool"))</f>
        <v/>
      </c>
      <c r="G58" s="14"/>
      <c r="H58" s="5" t="str">
        <f t="array" ref="H58">IF(G58="","",IFERROR(INDEX('Auditor Pool'!$B$4:$B$71,MATCH(G58,'Auditor Pool'!$D$4:$D$71,0)),"Not in pool"))</f>
        <v/>
      </c>
      <c r="I58" s="5" t="str">
        <f t="array" ref="I58">IF(G58="","",IFERROR(INDEX('Auditor Pool'!$C$4:$C$71,MATCH(G58,'Auditor Pool'!$D$4:$D$71,0)),"Not in pool"))</f>
        <v/>
      </c>
      <c r="J58" s="5" t="str">
        <f t="shared" si="0"/>
        <v/>
      </c>
      <c r="K58" s="18"/>
      <c r="L58" s="18"/>
      <c r="M58" s="18"/>
      <c r="N58" s="14"/>
    </row>
    <row r="59" spans="1:14" ht="15.75" customHeight="1">
      <c r="A59" s="5" t="s">
        <v>61</v>
      </c>
      <c r="B59" s="5" t="s">
        <v>63</v>
      </c>
      <c r="C59" s="5" t="s">
        <v>134</v>
      </c>
      <c r="D59" s="14"/>
      <c r="E59" s="5" t="str">
        <f t="array" ref="E59">IF(D59="","",IFERROR(INDEX('Auditor Pool'!$B$4:$B$71,MATCH(D59,'Auditor Pool'!$D$4:$D$71,0)),"Not in pool"))</f>
        <v/>
      </c>
      <c r="F59" s="5" t="str">
        <f t="array" ref="F59">IF(D59="","",IFERROR(INDEX('Auditor Pool'!$C$4:$C$71,MATCH(D59,'Auditor Pool'!$D$4:$D$71,0)),"Not in pool"))</f>
        <v/>
      </c>
      <c r="G59" s="14"/>
      <c r="H59" s="5" t="str">
        <f t="array" ref="H59">IF(G59="","",IFERROR(INDEX('Auditor Pool'!$B$4:$B$71,MATCH(G59,'Auditor Pool'!$D$4:$D$71,0)),"Not in pool"))</f>
        <v/>
      </c>
      <c r="I59" s="5" t="str">
        <f t="array" ref="I59">IF(G59="","",IFERROR(INDEX('Auditor Pool'!$C$4:$C$71,MATCH(G59,'Auditor Pool'!$D$4:$D$71,0)),"Not in pool"))</f>
        <v/>
      </c>
      <c r="J59" s="5" t="str">
        <f t="shared" si="0"/>
        <v/>
      </c>
      <c r="K59" s="18"/>
      <c r="L59" s="18"/>
      <c r="M59" s="18"/>
      <c r="N59" s="14"/>
    </row>
    <row r="60" spans="1:14" ht="15.75" customHeight="1">
      <c r="A60" s="5" t="s">
        <v>61</v>
      </c>
      <c r="B60" s="5" t="s">
        <v>63</v>
      </c>
      <c r="C60" s="5" t="s">
        <v>143</v>
      </c>
      <c r="D60" s="14"/>
      <c r="E60" s="5" t="str">
        <f t="array" ref="E60">IF(D60="","",IFERROR(INDEX('Auditor Pool'!$B$4:$B$71,MATCH(D60,'Auditor Pool'!$D$4:$D$71,0)),"Not in pool"))</f>
        <v/>
      </c>
      <c r="F60" s="5" t="str">
        <f t="array" ref="F60">IF(D60="","",IFERROR(INDEX('Auditor Pool'!$C$4:$C$71,MATCH(D60,'Auditor Pool'!$D$4:$D$71,0)),"Not in pool"))</f>
        <v/>
      </c>
      <c r="G60" s="14"/>
      <c r="H60" s="5" t="str">
        <f t="array" ref="H60">IF(G60="","",IFERROR(INDEX('Auditor Pool'!$B$4:$B$71,MATCH(G60,'Auditor Pool'!$D$4:$D$71,0)),"Not in pool"))</f>
        <v/>
      </c>
      <c r="I60" s="5" t="str">
        <f t="array" ref="I60">IF(G60="","",IFERROR(INDEX('Auditor Pool'!$C$4:$C$71,MATCH(G60,'Auditor Pool'!$D$4:$D$71,0)),"Not in pool"))</f>
        <v/>
      </c>
      <c r="J60" s="5" t="str">
        <f t="shared" si="0"/>
        <v/>
      </c>
      <c r="K60" s="18"/>
      <c r="L60" s="18"/>
      <c r="M60" s="18"/>
      <c r="N60" s="14"/>
    </row>
    <row r="61" spans="1:14" ht="15.75" customHeight="1">
      <c r="A61" s="5" t="s">
        <v>61</v>
      </c>
      <c r="B61" s="5" t="s">
        <v>63</v>
      </c>
      <c r="C61" s="5" t="s">
        <v>155</v>
      </c>
      <c r="D61" s="14"/>
      <c r="E61" s="5" t="str">
        <f t="array" ref="E61">IF(D61="","",IFERROR(INDEX('Auditor Pool'!$B$4:$B$71,MATCH(D61,'Auditor Pool'!$D$4:$D$71,0)),"Not in pool"))</f>
        <v/>
      </c>
      <c r="F61" s="5" t="str">
        <f t="array" ref="F61">IF(D61="","",IFERROR(INDEX('Auditor Pool'!$C$4:$C$71,MATCH(D61,'Auditor Pool'!$D$4:$D$71,0)),"Not in pool"))</f>
        <v/>
      </c>
      <c r="G61" s="14"/>
      <c r="H61" s="5" t="str">
        <f t="array" ref="H61">IF(G61="","",IFERROR(INDEX('Auditor Pool'!$B$4:$B$71,MATCH(G61,'Auditor Pool'!$D$4:$D$71,0)),"Not in pool"))</f>
        <v/>
      </c>
      <c r="I61" s="5" t="str">
        <f t="array" ref="I61">IF(G61="","",IFERROR(INDEX('Auditor Pool'!$C$4:$C$71,MATCH(G61,'Auditor Pool'!$D$4:$D$71,0)),"Not in pool"))</f>
        <v/>
      </c>
      <c r="J61" s="5" t="str">
        <f t="shared" si="0"/>
        <v/>
      </c>
      <c r="K61" s="18"/>
      <c r="L61" s="18"/>
      <c r="M61" s="18"/>
      <c r="N61" s="14"/>
    </row>
    <row r="62" spans="1:14" ht="15.75" customHeight="1">
      <c r="A62" s="5" t="s">
        <v>61</v>
      </c>
      <c r="B62" s="5" t="s">
        <v>63</v>
      </c>
      <c r="C62" s="5" t="s">
        <v>167</v>
      </c>
      <c r="D62" s="14"/>
      <c r="E62" s="5" t="str">
        <f t="array" ref="E62">IF(D62="","",IFERROR(INDEX('Auditor Pool'!$B$4:$B$71,MATCH(D62,'Auditor Pool'!$D$4:$D$71,0)),"Not in pool"))</f>
        <v/>
      </c>
      <c r="F62" s="5" t="str">
        <f t="array" ref="F62">IF(D62="","",IFERROR(INDEX('Auditor Pool'!$C$4:$C$71,MATCH(D62,'Auditor Pool'!$D$4:$D$71,0)),"Not in pool"))</f>
        <v/>
      </c>
      <c r="G62" s="14"/>
      <c r="H62" s="5" t="str">
        <f t="array" ref="H62">IF(G62="","",IFERROR(INDEX('Auditor Pool'!$B$4:$B$71,MATCH(G62,'Auditor Pool'!$D$4:$D$71,0)),"Not in pool"))</f>
        <v/>
      </c>
      <c r="I62" s="5" t="str">
        <f t="array" ref="I62">IF(G62="","",IFERROR(INDEX('Auditor Pool'!$C$4:$C$71,MATCH(G62,'Auditor Pool'!$D$4:$D$71,0)),"Not in pool"))</f>
        <v/>
      </c>
      <c r="J62" s="5" t="str">
        <f t="shared" si="0"/>
        <v/>
      </c>
      <c r="K62" s="18"/>
      <c r="L62" s="18"/>
      <c r="M62" s="18"/>
      <c r="N62" s="14"/>
    </row>
    <row r="63" spans="1:14" ht="15.75" customHeight="1">
      <c r="A63" s="5" t="s">
        <v>61</v>
      </c>
      <c r="B63" s="5" t="s">
        <v>63</v>
      </c>
      <c r="C63" s="5" t="s">
        <v>353</v>
      </c>
      <c r="D63" s="14"/>
      <c r="E63" s="5" t="str">
        <f t="array" ref="E63">IF(D63="","",IFERROR(INDEX('Auditor Pool'!$B$4:$B$71,MATCH(D63,'Auditor Pool'!$D$4:$D$71,0)),"Not in pool"))</f>
        <v/>
      </c>
      <c r="F63" s="5" t="str">
        <f t="array" ref="F63">IF(D63="","",IFERROR(INDEX('Auditor Pool'!$C$4:$C$71,MATCH(D63,'Auditor Pool'!$D$4:$D$71,0)),"Not in pool"))</f>
        <v/>
      </c>
      <c r="G63" s="14"/>
      <c r="H63" s="5" t="str">
        <f t="array" ref="H63">IF(G63="","",IFERROR(INDEX('Auditor Pool'!$B$4:$B$71,MATCH(G63,'Auditor Pool'!$D$4:$D$71,0)),"Not in pool"))</f>
        <v/>
      </c>
      <c r="I63" s="5" t="str">
        <f t="array" ref="I63">IF(G63="","",IFERROR(INDEX('Auditor Pool'!$C$4:$C$71,MATCH(G63,'Auditor Pool'!$D$4:$D$71,0)),"Not in pool"))</f>
        <v/>
      </c>
      <c r="J63" s="5" t="str">
        <f t="shared" si="0"/>
        <v/>
      </c>
      <c r="K63" s="18"/>
      <c r="L63" s="18"/>
      <c r="M63" s="18"/>
      <c r="N63" s="14"/>
    </row>
    <row r="64" spans="1:14" ht="15.75" customHeight="1">
      <c r="A64" s="5" t="s">
        <v>61</v>
      </c>
      <c r="B64" s="5" t="s">
        <v>63</v>
      </c>
      <c r="C64" s="5" t="s">
        <v>363</v>
      </c>
      <c r="D64" s="14"/>
      <c r="E64" s="5" t="str">
        <f t="array" ref="E64">IF(D64="","",IFERROR(INDEX('Auditor Pool'!$B$4:$B$71,MATCH(D64,'Auditor Pool'!$D$4:$D$71,0)),"Not in pool"))</f>
        <v/>
      </c>
      <c r="F64" s="5" t="str">
        <f t="array" ref="F64">IF(D64="","",IFERROR(INDEX('Auditor Pool'!$C$4:$C$71,MATCH(D64,'Auditor Pool'!$D$4:$D$71,0)),"Not in pool"))</f>
        <v/>
      </c>
      <c r="G64" s="14"/>
      <c r="H64" s="5" t="str">
        <f t="array" ref="H64">IF(G64="","",IFERROR(INDEX('Auditor Pool'!$B$4:$B$71,MATCH(G64,'Auditor Pool'!$D$4:$D$71,0)),"Not in pool"))</f>
        <v/>
      </c>
      <c r="I64" s="5" t="str">
        <f t="array" ref="I64">IF(G64="","",IFERROR(INDEX('Auditor Pool'!$C$4:$C$71,MATCH(G64,'Auditor Pool'!$D$4:$D$71,0)),"Not in pool"))</f>
        <v/>
      </c>
      <c r="J64" s="5" t="str">
        <f t="shared" si="0"/>
        <v/>
      </c>
      <c r="K64" s="18"/>
      <c r="L64" s="18"/>
      <c r="M64" s="18"/>
      <c r="N64" s="1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5:J64">
    <cfRule type="expression" dxfId="1" priority="1">
      <formula>LEFT(J5,2)="VI"</formula>
    </cfRule>
    <cfRule type="cellIs" dxfId="0" priority="2" operator="equal">
      <formula>"OK"</formula>
    </cfRule>
  </conditionalFormatting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F00-000000000000}">
          <x14:formula1>
            <xm:f>Settings!$G$12:$G$16</xm:f>
          </x14:formula1>
          <xm:sqref>N5:N64</xm:sqref>
        </x14:dataValidation>
        <x14:dataValidation type="list" allowBlank="1" xr:uid="{00000000-0002-0000-0F00-000001000000}">
          <x14:formula1>
            <xm:f>'Auditor Pool'!$D$4:$D$71</xm:f>
          </x14:formula1>
          <xm:sqref>D5:D64 G5:G64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7" customWidth="1"/>
    <col min="2" max="2" width="10" customWidth="1"/>
    <col min="3" max="3" width="13" customWidth="1"/>
    <col min="4" max="5" width="28" customWidth="1"/>
    <col min="6" max="6" width="14" customWidth="1"/>
    <col min="7" max="7" width="32" customWidth="1"/>
    <col min="8" max="26" width="8.7109375" customWidth="1"/>
  </cols>
  <sheetData>
    <row r="1" spans="1:7" ht="18.75">
      <c r="A1" s="4" t="s">
        <v>1529</v>
      </c>
    </row>
    <row r="2" spans="1:7">
      <c r="A2" s="5" t="s">
        <v>1530</v>
      </c>
    </row>
    <row r="3" spans="1:7">
      <c r="A3" s="6" t="s">
        <v>1531</v>
      </c>
      <c r="B3" s="6" t="s">
        <v>13</v>
      </c>
      <c r="C3" s="6" t="s">
        <v>58</v>
      </c>
      <c r="D3" s="6" t="s">
        <v>1532</v>
      </c>
      <c r="E3" s="6" t="s">
        <v>1533</v>
      </c>
      <c r="F3" s="6" t="s">
        <v>1534</v>
      </c>
      <c r="G3" s="6" t="s">
        <v>1535</v>
      </c>
    </row>
    <row r="4" spans="1:7">
      <c r="A4" s="8">
        <v>1</v>
      </c>
      <c r="B4" s="8" t="s">
        <v>34</v>
      </c>
      <c r="C4" s="8" t="s">
        <v>155</v>
      </c>
      <c r="D4" s="8" t="s">
        <v>1537</v>
      </c>
      <c r="E4" s="8" t="s">
        <v>1538</v>
      </c>
      <c r="F4" s="8" t="s">
        <v>1539</v>
      </c>
      <c r="G4" s="8"/>
    </row>
    <row r="5" spans="1:7">
      <c r="A5" s="8">
        <v>2</v>
      </c>
      <c r="B5" s="8" t="s">
        <v>34</v>
      </c>
      <c r="C5" s="8" t="s">
        <v>155</v>
      </c>
      <c r="D5" s="8" t="s">
        <v>1540</v>
      </c>
      <c r="E5" s="8" t="s">
        <v>1541</v>
      </c>
      <c r="F5" s="8" t="s">
        <v>1542</v>
      </c>
      <c r="G5" s="8"/>
    </row>
    <row r="6" spans="1:7">
      <c r="A6" s="8">
        <v>3</v>
      </c>
      <c r="B6" s="8" t="s">
        <v>34</v>
      </c>
      <c r="C6" s="8" t="s">
        <v>143</v>
      </c>
      <c r="D6" s="8" t="s">
        <v>1543</v>
      </c>
      <c r="E6" s="8" t="s">
        <v>1541</v>
      </c>
      <c r="F6" s="8" t="s">
        <v>1539</v>
      </c>
      <c r="G6" s="8"/>
    </row>
    <row r="7" spans="1:7">
      <c r="A7" s="8">
        <v>4</v>
      </c>
      <c r="B7" s="8" t="s">
        <v>34</v>
      </c>
      <c r="C7" s="8" t="s">
        <v>143</v>
      </c>
      <c r="D7" s="8" t="s">
        <v>1544</v>
      </c>
      <c r="E7" s="8" t="s">
        <v>1541</v>
      </c>
      <c r="F7" s="8" t="s">
        <v>1539</v>
      </c>
      <c r="G7" s="8"/>
    </row>
    <row r="8" spans="1:7">
      <c r="A8" s="8">
        <v>5</v>
      </c>
      <c r="B8" s="8" t="s">
        <v>34</v>
      </c>
      <c r="C8" s="8" t="s">
        <v>143</v>
      </c>
      <c r="D8" s="8" t="s">
        <v>1545</v>
      </c>
      <c r="E8" s="8" t="s">
        <v>1546</v>
      </c>
      <c r="F8" s="8" t="s">
        <v>1539</v>
      </c>
      <c r="G8" s="8"/>
    </row>
    <row r="9" spans="1:7">
      <c r="A9" s="8">
        <v>6</v>
      </c>
      <c r="B9" s="8" t="s">
        <v>34</v>
      </c>
      <c r="C9" s="8" t="s">
        <v>122</v>
      </c>
      <c r="D9" s="8" t="s">
        <v>1548</v>
      </c>
      <c r="E9" s="8" t="s">
        <v>1538</v>
      </c>
      <c r="F9" s="8" t="s">
        <v>1539</v>
      </c>
      <c r="G9" s="8"/>
    </row>
    <row r="10" spans="1:7">
      <c r="A10" s="8">
        <v>7</v>
      </c>
      <c r="B10" s="8" t="s">
        <v>34</v>
      </c>
      <c r="C10" s="8" t="s">
        <v>122</v>
      </c>
      <c r="D10" s="8" t="s">
        <v>1550</v>
      </c>
      <c r="E10" s="8" t="s">
        <v>1546</v>
      </c>
      <c r="F10" s="8" t="s">
        <v>1539</v>
      </c>
      <c r="G10" s="8"/>
    </row>
    <row r="11" spans="1:7">
      <c r="A11" s="8">
        <v>8</v>
      </c>
      <c r="B11" s="8" t="s">
        <v>34</v>
      </c>
      <c r="C11" s="8" t="s">
        <v>122</v>
      </c>
      <c r="D11" s="8" t="s">
        <v>1551</v>
      </c>
      <c r="E11" s="8" t="s">
        <v>1546</v>
      </c>
      <c r="F11" s="8" t="s">
        <v>1542</v>
      </c>
      <c r="G11" s="8"/>
    </row>
    <row r="12" spans="1:7">
      <c r="A12" s="8">
        <v>9</v>
      </c>
      <c r="B12" s="8" t="s">
        <v>34</v>
      </c>
      <c r="C12" s="8" t="s">
        <v>122</v>
      </c>
      <c r="D12" s="8" t="s">
        <v>1552</v>
      </c>
      <c r="E12" s="8" t="s">
        <v>1553</v>
      </c>
      <c r="F12" s="8" t="s">
        <v>1539</v>
      </c>
      <c r="G12" s="8"/>
    </row>
    <row r="13" spans="1:7">
      <c r="A13" s="8">
        <v>10</v>
      </c>
      <c r="B13" s="8" t="s">
        <v>34</v>
      </c>
      <c r="C13" s="8" t="s">
        <v>134</v>
      </c>
      <c r="D13" s="8" t="s">
        <v>1554</v>
      </c>
      <c r="E13" s="8" t="s">
        <v>1538</v>
      </c>
      <c r="F13" s="8" t="s">
        <v>1539</v>
      </c>
      <c r="G13" s="8"/>
    </row>
    <row r="14" spans="1:7">
      <c r="A14" s="8">
        <v>11</v>
      </c>
      <c r="B14" s="8" t="s">
        <v>34</v>
      </c>
      <c r="C14" s="8" t="s">
        <v>134</v>
      </c>
      <c r="D14" s="8" t="s">
        <v>1555</v>
      </c>
      <c r="E14" s="8" t="s">
        <v>1556</v>
      </c>
      <c r="F14" s="8" t="s">
        <v>1539</v>
      </c>
      <c r="G14" s="8"/>
    </row>
    <row r="15" spans="1:7">
      <c r="A15" s="8">
        <v>12</v>
      </c>
      <c r="B15" s="8" t="s">
        <v>34</v>
      </c>
      <c r="C15" s="8" t="s">
        <v>119</v>
      </c>
      <c r="D15" s="8" t="s">
        <v>1557</v>
      </c>
      <c r="E15" s="8" t="s">
        <v>1558</v>
      </c>
      <c r="F15" s="8" t="s">
        <v>1539</v>
      </c>
      <c r="G15" s="8"/>
    </row>
    <row r="16" spans="1:7">
      <c r="A16" s="8">
        <v>13</v>
      </c>
      <c r="B16" s="8" t="s">
        <v>34</v>
      </c>
      <c r="C16" s="8" t="s">
        <v>119</v>
      </c>
      <c r="D16" s="8" t="s">
        <v>1559</v>
      </c>
      <c r="E16" s="8" t="s">
        <v>1546</v>
      </c>
      <c r="F16" s="8" t="s">
        <v>1539</v>
      </c>
      <c r="G16" s="8"/>
    </row>
    <row r="17" spans="1:7">
      <c r="A17" s="8">
        <v>14</v>
      </c>
      <c r="B17" s="8" t="s">
        <v>34</v>
      </c>
      <c r="C17" s="8" t="s">
        <v>119</v>
      </c>
      <c r="D17" s="8" t="s">
        <v>1560</v>
      </c>
      <c r="E17" s="8" t="s">
        <v>1546</v>
      </c>
      <c r="F17" s="8" t="s">
        <v>1539</v>
      </c>
      <c r="G17" s="8"/>
    </row>
    <row r="18" spans="1:7">
      <c r="A18" s="8">
        <v>15</v>
      </c>
      <c r="B18" s="8" t="s">
        <v>34</v>
      </c>
      <c r="C18" s="8" t="s">
        <v>119</v>
      </c>
      <c r="D18" s="8" t="s">
        <v>1561</v>
      </c>
      <c r="E18" s="8" t="s">
        <v>1546</v>
      </c>
      <c r="F18" s="8" t="s">
        <v>1539</v>
      </c>
      <c r="G18" s="8"/>
    </row>
    <row r="19" spans="1:7">
      <c r="A19" s="8">
        <v>16</v>
      </c>
      <c r="B19" s="8" t="s">
        <v>34</v>
      </c>
      <c r="C19" s="8" t="s">
        <v>107</v>
      </c>
      <c r="D19" s="8" t="s">
        <v>1563</v>
      </c>
      <c r="E19" s="8" t="s">
        <v>1564</v>
      </c>
      <c r="F19" s="8" t="s">
        <v>1539</v>
      </c>
      <c r="G19" s="8"/>
    </row>
    <row r="20" spans="1:7">
      <c r="A20" s="8">
        <v>17</v>
      </c>
      <c r="B20" s="8" t="s">
        <v>34</v>
      </c>
      <c r="C20" s="8" t="s">
        <v>107</v>
      </c>
      <c r="D20" s="8" t="s">
        <v>1565</v>
      </c>
      <c r="E20" s="8" t="s">
        <v>1546</v>
      </c>
      <c r="F20" s="8" t="s">
        <v>1542</v>
      </c>
      <c r="G20" s="8"/>
    </row>
    <row r="21" spans="1:7" ht="15.75" customHeight="1">
      <c r="A21" s="8">
        <v>18</v>
      </c>
      <c r="B21" s="8" t="s">
        <v>34</v>
      </c>
      <c r="C21" s="8" t="s">
        <v>82</v>
      </c>
      <c r="D21" s="8" t="s">
        <v>1566</v>
      </c>
      <c r="E21" s="8" t="s">
        <v>1546</v>
      </c>
      <c r="F21" s="8" t="s">
        <v>1539</v>
      </c>
      <c r="G21" s="8"/>
    </row>
    <row r="22" spans="1:7" ht="15.75" customHeight="1">
      <c r="A22" s="8">
        <v>19</v>
      </c>
      <c r="B22" s="8" t="s">
        <v>34</v>
      </c>
      <c r="C22" s="8" t="s">
        <v>109</v>
      </c>
      <c r="D22" s="8" t="s">
        <v>1567</v>
      </c>
      <c r="E22" s="8" t="s">
        <v>1538</v>
      </c>
      <c r="F22" s="8" t="s">
        <v>1539</v>
      </c>
      <c r="G22" s="8"/>
    </row>
    <row r="23" spans="1:7" ht="15.75" customHeight="1">
      <c r="A23" s="8">
        <v>20</v>
      </c>
      <c r="B23" s="8" t="s">
        <v>34</v>
      </c>
      <c r="C23" s="8" t="s">
        <v>109</v>
      </c>
      <c r="D23" s="8" t="s">
        <v>1568</v>
      </c>
      <c r="E23" s="8" t="s">
        <v>1546</v>
      </c>
      <c r="F23" s="8" t="s">
        <v>1539</v>
      </c>
      <c r="G23" s="8"/>
    </row>
    <row r="24" spans="1:7" ht="15.75" customHeight="1">
      <c r="A24" s="8">
        <v>21</v>
      </c>
      <c r="B24" s="8" t="s">
        <v>34</v>
      </c>
      <c r="C24" s="8" t="s">
        <v>167</v>
      </c>
      <c r="D24" s="8" t="s">
        <v>1570</v>
      </c>
      <c r="E24" s="8" t="s">
        <v>1558</v>
      </c>
      <c r="F24" s="8" t="s">
        <v>1539</v>
      </c>
      <c r="G24" s="8"/>
    </row>
    <row r="25" spans="1:7" ht="15.75" customHeight="1">
      <c r="A25" s="8">
        <v>22</v>
      </c>
      <c r="B25" s="8" t="s">
        <v>34</v>
      </c>
      <c r="C25" s="8" t="s">
        <v>167</v>
      </c>
      <c r="D25" s="8" t="s">
        <v>1571</v>
      </c>
      <c r="E25" s="8" t="s">
        <v>1546</v>
      </c>
      <c r="F25" s="8" t="s">
        <v>1539</v>
      </c>
      <c r="G25" s="8"/>
    </row>
    <row r="26" spans="1:7" ht="15.75" customHeight="1">
      <c r="A26" s="8">
        <v>23</v>
      </c>
      <c r="B26" s="8" t="s">
        <v>62</v>
      </c>
      <c r="C26" s="8" t="s">
        <v>82</v>
      </c>
      <c r="D26" s="8" t="s">
        <v>1572</v>
      </c>
      <c r="E26" s="8" t="s">
        <v>1573</v>
      </c>
      <c r="F26" s="8" t="s">
        <v>1539</v>
      </c>
      <c r="G26" s="8" t="s">
        <v>1574</v>
      </c>
    </row>
    <row r="27" spans="1:7" ht="15.75" customHeight="1">
      <c r="A27" s="8">
        <v>24</v>
      </c>
      <c r="B27" s="8" t="s">
        <v>62</v>
      </c>
      <c r="C27" s="8" t="s">
        <v>82</v>
      </c>
      <c r="D27" s="8" t="s">
        <v>1575</v>
      </c>
      <c r="E27" s="8" t="s">
        <v>1576</v>
      </c>
      <c r="F27" s="8"/>
      <c r="G27" s="8" t="s">
        <v>1577</v>
      </c>
    </row>
    <row r="28" spans="1:7" ht="15.75" customHeight="1">
      <c r="A28" s="8">
        <v>25</v>
      </c>
      <c r="B28" s="8" t="s">
        <v>62</v>
      </c>
      <c r="C28" s="8" t="s">
        <v>107</v>
      </c>
      <c r="D28" s="8" t="s">
        <v>1579</v>
      </c>
      <c r="E28" s="8" t="s">
        <v>1576</v>
      </c>
      <c r="F28" s="8" t="s">
        <v>1539</v>
      </c>
      <c r="G28" s="8" t="s">
        <v>1580</v>
      </c>
    </row>
    <row r="29" spans="1:7" ht="15.75" customHeight="1">
      <c r="A29" s="8">
        <v>26</v>
      </c>
      <c r="B29" s="8" t="s">
        <v>62</v>
      </c>
      <c r="C29" s="8" t="s">
        <v>107</v>
      </c>
      <c r="D29" s="8" t="s">
        <v>1581</v>
      </c>
      <c r="E29" s="8" t="s">
        <v>1576</v>
      </c>
      <c r="F29" s="8" t="s">
        <v>1539</v>
      </c>
      <c r="G29" s="8" t="s">
        <v>1582</v>
      </c>
    </row>
    <row r="30" spans="1:7" ht="15.75" customHeight="1">
      <c r="A30" s="8">
        <v>27</v>
      </c>
      <c r="B30" s="8" t="s">
        <v>62</v>
      </c>
      <c r="C30" s="8" t="s">
        <v>109</v>
      </c>
      <c r="D30" s="8" t="s">
        <v>1583</v>
      </c>
      <c r="E30" s="8" t="s">
        <v>1573</v>
      </c>
      <c r="F30" s="8" t="s">
        <v>1539</v>
      </c>
      <c r="G30" s="8" t="s">
        <v>1584</v>
      </c>
    </row>
    <row r="31" spans="1:7" ht="15.75" customHeight="1">
      <c r="A31" s="8">
        <v>28</v>
      </c>
      <c r="B31" s="8" t="s">
        <v>62</v>
      </c>
      <c r="C31" s="8" t="s">
        <v>109</v>
      </c>
      <c r="D31" s="8" t="s">
        <v>1585</v>
      </c>
      <c r="E31" s="8" t="s">
        <v>1576</v>
      </c>
      <c r="F31" s="8" t="s">
        <v>1539</v>
      </c>
      <c r="G31" s="8" t="s">
        <v>1586</v>
      </c>
    </row>
    <row r="32" spans="1:7" ht="15.75" customHeight="1">
      <c r="A32" s="8">
        <v>29</v>
      </c>
      <c r="B32" s="8" t="s">
        <v>62</v>
      </c>
      <c r="C32" s="8" t="s">
        <v>119</v>
      </c>
      <c r="D32" s="8" t="s">
        <v>1587</v>
      </c>
      <c r="E32" s="8" t="s">
        <v>1573</v>
      </c>
      <c r="F32" s="8" t="s">
        <v>1539</v>
      </c>
      <c r="G32" s="8" t="s">
        <v>1588</v>
      </c>
    </row>
    <row r="33" spans="1:7" ht="15.75" customHeight="1">
      <c r="A33" s="8">
        <v>30</v>
      </c>
      <c r="B33" s="8" t="s">
        <v>62</v>
      </c>
      <c r="C33" s="8" t="s">
        <v>119</v>
      </c>
      <c r="D33" s="8" t="s">
        <v>1589</v>
      </c>
      <c r="E33" s="8" t="s">
        <v>1576</v>
      </c>
      <c r="F33" s="8" t="s">
        <v>1539</v>
      </c>
      <c r="G33" s="8" t="s">
        <v>1590</v>
      </c>
    </row>
    <row r="34" spans="1:7" ht="15.75" customHeight="1">
      <c r="A34" s="8">
        <v>31</v>
      </c>
      <c r="B34" s="8" t="s">
        <v>62</v>
      </c>
      <c r="C34" s="8" t="s">
        <v>119</v>
      </c>
      <c r="D34" s="8" t="s">
        <v>1591</v>
      </c>
      <c r="E34" s="8" t="s">
        <v>1576</v>
      </c>
      <c r="F34" s="8" t="s">
        <v>1542</v>
      </c>
      <c r="G34" s="8" t="s">
        <v>1592</v>
      </c>
    </row>
    <row r="35" spans="1:7" ht="15.75" customHeight="1">
      <c r="A35" s="8">
        <v>32</v>
      </c>
      <c r="B35" s="8" t="s">
        <v>62</v>
      </c>
      <c r="C35" s="8" t="s">
        <v>119</v>
      </c>
      <c r="D35" s="8" t="s">
        <v>1593</v>
      </c>
      <c r="E35" s="8" t="s">
        <v>1576</v>
      </c>
      <c r="F35" s="8" t="s">
        <v>1539</v>
      </c>
      <c r="G35" s="8" t="s">
        <v>1594</v>
      </c>
    </row>
    <row r="36" spans="1:7" ht="15.75" customHeight="1">
      <c r="A36" s="8">
        <v>33</v>
      </c>
      <c r="B36" s="8" t="s">
        <v>62</v>
      </c>
      <c r="C36" s="8" t="s">
        <v>210</v>
      </c>
      <c r="D36" s="8" t="s">
        <v>1595</v>
      </c>
      <c r="E36" s="8" t="s">
        <v>1573</v>
      </c>
      <c r="F36" s="8" t="s">
        <v>1539</v>
      </c>
      <c r="G36" s="8" t="s">
        <v>1596</v>
      </c>
    </row>
    <row r="37" spans="1:7" ht="15.75" customHeight="1">
      <c r="A37" s="8">
        <v>34</v>
      </c>
      <c r="B37" s="8" t="s">
        <v>62</v>
      </c>
      <c r="C37" s="8" t="s">
        <v>210</v>
      </c>
      <c r="D37" s="8" t="s">
        <v>1598</v>
      </c>
      <c r="E37" s="8" t="s">
        <v>1576</v>
      </c>
      <c r="F37" s="8" t="s">
        <v>1539</v>
      </c>
      <c r="G37" s="8" t="s">
        <v>1599</v>
      </c>
    </row>
    <row r="38" spans="1:7" ht="15.75" customHeight="1">
      <c r="A38" s="8">
        <v>35</v>
      </c>
      <c r="B38" s="8" t="s">
        <v>62</v>
      </c>
      <c r="C38" s="8" t="s">
        <v>122</v>
      </c>
      <c r="D38" s="8" t="s">
        <v>1600</v>
      </c>
      <c r="E38" s="8" t="s">
        <v>1573</v>
      </c>
      <c r="F38" s="8" t="s">
        <v>1539</v>
      </c>
      <c r="G38" s="8" t="s">
        <v>1601</v>
      </c>
    </row>
    <row r="39" spans="1:7" ht="15.75" customHeight="1">
      <c r="A39" s="8">
        <v>36</v>
      </c>
      <c r="B39" s="8" t="s">
        <v>62</v>
      </c>
      <c r="C39" s="8" t="s">
        <v>122</v>
      </c>
      <c r="D39" s="8" t="s">
        <v>1602</v>
      </c>
      <c r="E39" s="8" t="s">
        <v>1576</v>
      </c>
      <c r="F39" s="8" t="s">
        <v>1539</v>
      </c>
      <c r="G39" s="8" t="s">
        <v>1603</v>
      </c>
    </row>
    <row r="40" spans="1:7" ht="15.75" customHeight="1">
      <c r="A40" s="8">
        <v>37</v>
      </c>
      <c r="B40" s="8" t="s">
        <v>62</v>
      </c>
      <c r="C40" s="8" t="s">
        <v>122</v>
      </c>
      <c r="D40" s="8" t="s">
        <v>1604</v>
      </c>
      <c r="E40" s="8" t="s">
        <v>1605</v>
      </c>
      <c r="F40" s="8" t="s">
        <v>1539</v>
      </c>
      <c r="G40" s="8" t="s">
        <v>1606</v>
      </c>
    </row>
    <row r="41" spans="1:7" ht="15.75" customHeight="1">
      <c r="A41" s="8">
        <v>38</v>
      </c>
      <c r="B41" s="8" t="s">
        <v>62</v>
      </c>
      <c r="C41" s="8" t="s">
        <v>122</v>
      </c>
      <c r="D41" s="8" t="s">
        <v>1607</v>
      </c>
      <c r="E41" s="8" t="s">
        <v>1576</v>
      </c>
      <c r="F41" s="8" t="s">
        <v>1539</v>
      </c>
      <c r="G41" s="8" t="s">
        <v>1608</v>
      </c>
    </row>
    <row r="42" spans="1:7" ht="15.75" customHeight="1">
      <c r="A42" s="8">
        <v>39</v>
      </c>
      <c r="B42" s="8" t="s">
        <v>62</v>
      </c>
      <c r="C42" s="8" t="s">
        <v>134</v>
      </c>
      <c r="D42" s="8" t="s">
        <v>1609</v>
      </c>
      <c r="E42" s="8" t="s">
        <v>1573</v>
      </c>
      <c r="F42" s="8" t="s">
        <v>1539</v>
      </c>
      <c r="G42" s="8" t="s">
        <v>1610</v>
      </c>
    </row>
    <row r="43" spans="1:7" ht="15.75" customHeight="1">
      <c r="A43" s="8">
        <v>40</v>
      </c>
      <c r="B43" s="8" t="s">
        <v>62</v>
      </c>
      <c r="C43" s="8" t="s">
        <v>134</v>
      </c>
      <c r="D43" s="8" t="s">
        <v>1611</v>
      </c>
      <c r="E43" s="8" t="s">
        <v>1576</v>
      </c>
      <c r="F43" s="8" t="s">
        <v>1539</v>
      </c>
      <c r="G43" s="8" t="s">
        <v>1612</v>
      </c>
    </row>
    <row r="44" spans="1:7" ht="15.75" customHeight="1">
      <c r="A44" s="8">
        <v>41</v>
      </c>
      <c r="B44" s="8" t="s">
        <v>62</v>
      </c>
      <c r="C44" s="8" t="s">
        <v>143</v>
      </c>
      <c r="D44" s="8" t="s">
        <v>1613</v>
      </c>
      <c r="E44" s="8" t="s">
        <v>1576</v>
      </c>
      <c r="F44" s="8" t="s">
        <v>1539</v>
      </c>
      <c r="G44" s="8" t="s">
        <v>1614</v>
      </c>
    </row>
    <row r="45" spans="1:7" ht="15.75" customHeight="1">
      <c r="A45" s="8">
        <v>42</v>
      </c>
      <c r="B45" s="8" t="s">
        <v>62</v>
      </c>
      <c r="C45" s="8" t="s">
        <v>143</v>
      </c>
      <c r="D45" s="8" t="s">
        <v>1615</v>
      </c>
      <c r="E45" s="8" t="s">
        <v>1576</v>
      </c>
      <c r="F45" s="8" t="s">
        <v>1539</v>
      </c>
      <c r="G45" s="8" t="s">
        <v>1616</v>
      </c>
    </row>
    <row r="46" spans="1:7" ht="15.75" customHeight="1">
      <c r="A46" s="8">
        <v>43</v>
      </c>
      <c r="B46" s="8" t="s">
        <v>62</v>
      </c>
      <c r="C46" s="8" t="s">
        <v>167</v>
      </c>
      <c r="D46" s="8" t="s">
        <v>1617</v>
      </c>
      <c r="E46" s="8" t="s">
        <v>1618</v>
      </c>
      <c r="F46" s="8" t="s">
        <v>1539</v>
      </c>
      <c r="G46" s="8" t="s">
        <v>1619</v>
      </c>
    </row>
    <row r="47" spans="1:7" ht="15.75" customHeight="1">
      <c r="A47" s="8">
        <v>44</v>
      </c>
      <c r="B47" s="8" t="s">
        <v>62</v>
      </c>
      <c r="C47" s="8" t="s">
        <v>167</v>
      </c>
      <c r="D47" s="8" t="s">
        <v>1620</v>
      </c>
      <c r="E47" s="8" t="s">
        <v>1621</v>
      </c>
      <c r="F47" s="8" t="s">
        <v>1539</v>
      </c>
      <c r="G47" s="8" t="s">
        <v>1622</v>
      </c>
    </row>
    <row r="48" spans="1:7" ht="15.75" customHeight="1">
      <c r="A48" s="8">
        <v>45</v>
      </c>
      <c r="B48" s="8" t="s">
        <v>63</v>
      </c>
      <c r="C48" s="14"/>
      <c r="D48" s="14"/>
      <c r="E48" s="14"/>
      <c r="F48" s="14"/>
      <c r="G48" s="14"/>
    </row>
    <row r="49" spans="1:7" ht="15.75" customHeight="1">
      <c r="A49" s="8">
        <v>46</v>
      </c>
      <c r="B49" s="8" t="s">
        <v>63</v>
      </c>
      <c r="C49" s="14"/>
      <c r="D49" s="14"/>
      <c r="E49" s="14"/>
      <c r="F49" s="14"/>
      <c r="G49" s="14"/>
    </row>
    <row r="50" spans="1:7" ht="15.75" customHeight="1">
      <c r="A50" s="8">
        <v>47</v>
      </c>
      <c r="B50" s="8" t="s">
        <v>63</v>
      </c>
      <c r="C50" s="14"/>
      <c r="D50" s="14"/>
      <c r="E50" s="14"/>
      <c r="F50" s="14"/>
      <c r="G50" s="14"/>
    </row>
    <row r="51" spans="1:7" ht="15.75" customHeight="1">
      <c r="A51" s="8">
        <v>48</v>
      </c>
      <c r="B51" s="8" t="s">
        <v>63</v>
      </c>
      <c r="C51" s="14"/>
      <c r="D51" s="14"/>
      <c r="E51" s="14"/>
      <c r="F51" s="14"/>
      <c r="G51" s="14"/>
    </row>
    <row r="52" spans="1:7" ht="15.75" customHeight="1">
      <c r="A52" s="8">
        <v>49</v>
      </c>
      <c r="B52" s="8" t="s">
        <v>63</v>
      </c>
      <c r="C52" s="14"/>
      <c r="D52" s="14"/>
      <c r="E52" s="14"/>
      <c r="F52" s="14"/>
      <c r="G52" s="14"/>
    </row>
    <row r="53" spans="1:7" ht="15.75" customHeight="1">
      <c r="A53" s="8">
        <v>50</v>
      </c>
      <c r="B53" s="8" t="s">
        <v>63</v>
      </c>
      <c r="C53" s="14"/>
      <c r="D53" s="14"/>
      <c r="E53" s="14"/>
      <c r="F53" s="14"/>
      <c r="G53" s="14"/>
    </row>
    <row r="54" spans="1:7" ht="15.75" customHeight="1">
      <c r="A54" s="8">
        <v>51</v>
      </c>
      <c r="B54" s="8" t="s">
        <v>63</v>
      </c>
      <c r="C54" s="14"/>
      <c r="D54" s="14"/>
      <c r="E54" s="14"/>
      <c r="F54" s="14"/>
      <c r="G54" s="14"/>
    </row>
    <row r="55" spans="1:7" ht="15.75" customHeight="1">
      <c r="A55" s="8">
        <v>52</v>
      </c>
      <c r="B55" s="8" t="s">
        <v>63</v>
      </c>
      <c r="C55" s="14"/>
      <c r="D55" s="14"/>
      <c r="E55" s="14"/>
      <c r="F55" s="14"/>
      <c r="G55" s="14"/>
    </row>
    <row r="56" spans="1:7" ht="15.75" customHeight="1">
      <c r="A56" s="8">
        <v>53</v>
      </c>
      <c r="B56" s="8" t="s">
        <v>63</v>
      </c>
      <c r="C56" s="14"/>
      <c r="D56" s="14"/>
      <c r="E56" s="14"/>
      <c r="F56" s="14"/>
      <c r="G56" s="14"/>
    </row>
    <row r="57" spans="1:7" ht="15.75" customHeight="1">
      <c r="A57" s="8">
        <v>54</v>
      </c>
      <c r="B57" s="8" t="s">
        <v>63</v>
      </c>
      <c r="C57" s="14"/>
      <c r="D57" s="14"/>
      <c r="E57" s="14"/>
      <c r="F57" s="14"/>
      <c r="G57" s="14"/>
    </row>
    <row r="58" spans="1:7" ht="15.75" customHeight="1">
      <c r="A58" s="8">
        <v>55</v>
      </c>
      <c r="B58" s="8" t="s">
        <v>63</v>
      </c>
      <c r="C58" s="14"/>
      <c r="D58" s="14"/>
      <c r="E58" s="14"/>
      <c r="F58" s="14"/>
      <c r="G58" s="14"/>
    </row>
    <row r="59" spans="1:7" ht="15.75" customHeight="1">
      <c r="A59" s="8">
        <v>56</v>
      </c>
      <c r="B59" s="8" t="s">
        <v>63</v>
      </c>
      <c r="C59" s="14"/>
      <c r="D59" s="14"/>
      <c r="E59" s="14"/>
      <c r="F59" s="14"/>
      <c r="G59" s="14"/>
    </row>
    <row r="60" spans="1:7" ht="15.75" customHeight="1">
      <c r="A60" s="8">
        <v>57</v>
      </c>
      <c r="B60" s="8" t="s">
        <v>63</v>
      </c>
      <c r="C60" s="14"/>
      <c r="D60" s="14"/>
      <c r="E60" s="14"/>
      <c r="F60" s="14"/>
      <c r="G60" s="14"/>
    </row>
    <row r="61" spans="1:7" ht="15.75" customHeight="1">
      <c r="A61" s="8">
        <v>58</v>
      </c>
      <c r="B61" s="8" t="s">
        <v>63</v>
      </c>
      <c r="C61" s="14"/>
      <c r="D61" s="14"/>
      <c r="E61" s="14"/>
      <c r="F61" s="14"/>
      <c r="G61" s="14"/>
    </row>
    <row r="62" spans="1:7" ht="15.75" customHeight="1">
      <c r="A62" s="8">
        <v>59</v>
      </c>
      <c r="B62" s="8" t="s">
        <v>63</v>
      </c>
      <c r="C62" s="14"/>
      <c r="D62" s="14"/>
      <c r="E62" s="14"/>
      <c r="F62" s="14"/>
      <c r="G62" s="14"/>
    </row>
    <row r="63" spans="1:7" ht="15.75" customHeight="1">
      <c r="A63" s="8">
        <v>60</v>
      </c>
      <c r="B63" s="8" t="s">
        <v>63</v>
      </c>
      <c r="C63" s="14"/>
      <c r="D63" s="14"/>
      <c r="E63" s="14"/>
      <c r="F63" s="14"/>
      <c r="G63" s="14"/>
    </row>
    <row r="64" spans="1:7" ht="15.75" customHeight="1">
      <c r="A64" s="8">
        <v>61</v>
      </c>
      <c r="B64" s="8" t="s">
        <v>63</v>
      </c>
      <c r="C64" s="14"/>
      <c r="D64" s="14"/>
      <c r="E64" s="14"/>
      <c r="F64" s="14"/>
      <c r="G64" s="14"/>
    </row>
    <row r="65" spans="1:7" ht="15.75" customHeight="1">
      <c r="A65" s="8">
        <v>62</v>
      </c>
      <c r="B65" s="8" t="s">
        <v>63</v>
      </c>
      <c r="C65" s="14"/>
      <c r="D65" s="14"/>
      <c r="E65" s="14"/>
      <c r="F65" s="14"/>
      <c r="G65" s="14"/>
    </row>
    <row r="66" spans="1:7" ht="15.75" customHeight="1">
      <c r="A66" s="8">
        <v>63</v>
      </c>
      <c r="B66" s="8" t="s">
        <v>63</v>
      </c>
      <c r="C66" s="14"/>
      <c r="D66" s="14"/>
      <c r="E66" s="14"/>
      <c r="F66" s="14"/>
      <c r="G66" s="14"/>
    </row>
    <row r="67" spans="1:7" ht="15.75" customHeight="1">
      <c r="A67" s="8">
        <v>64</v>
      </c>
      <c r="B67" s="8" t="s">
        <v>63</v>
      </c>
      <c r="C67" s="14"/>
      <c r="D67" s="14"/>
      <c r="E67" s="14"/>
      <c r="F67" s="14"/>
      <c r="G67" s="14"/>
    </row>
    <row r="68" spans="1:7" ht="15.75" customHeight="1">
      <c r="A68" s="8">
        <v>65</v>
      </c>
      <c r="B68" s="8" t="s">
        <v>63</v>
      </c>
      <c r="C68" s="14"/>
      <c r="D68" s="14"/>
      <c r="E68" s="14"/>
      <c r="F68" s="14"/>
      <c r="G68" s="14"/>
    </row>
    <row r="69" spans="1:7" ht="15.75" customHeight="1">
      <c r="A69" s="8">
        <v>66</v>
      </c>
      <c r="B69" s="8" t="s">
        <v>63</v>
      </c>
      <c r="C69" s="14"/>
      <c r="D69" s="14"/>
      <c r="E69" s="14"/>
      <c r="F69" s="14"/>
      <c r="G69" s="14"/>
    </row>
    <row r="70" spans="1:7" ht="15.75" customHeight="1">
      <c r="A70" s="8">
        <v>67</v>
      </c>
      <c r="B70" s="8" t="s">
        <v>63</v>
      </c>
      <c r="C70" s="14"/>
      <c r="D70" s="14"/>
      <c r="E70" s="14"/>
      <c r="F70" s="14"/>
      <c r="G70" s="14"/>
    </row>
    <row r="71" spans="1:7" ht="15.75" customHeight="1">
      <c r="A71" s="8">
        <v>68</v>
      </c>
      <c r="B71" s="8" t="s">
        <v>63</v>
      </c>
      <c r="C71" s="14"/>
      <c r="D71" s="14"/>
      <c r="E71" s="14"/>
      <c r="F71" s="14"/>
      <c r="G71" s="14"/>
    </row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000-000000000000}">
          <x14:formula1>
            <xm:f>Settings!$I$12:$I$23</xm:f>
          </x14:formula1>
          <xm:sqref>C4:C71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0"/>
  <sheetViews>
    <sheetView tabSelected="1" workbookViewId="0"/>
  </sheetViews>
  <sheetFormatPr defaultColWidth="14.42578125" defaultRowHeight="15" customHeight="1"/>
  <cols>
    <col min="1" max="1" width="52" customWidth="1"/>
    <col min="2" max="2" width="16" customWidth="1"/>
    <col min="3" max="3" width="55" customWidth="1"/>
    <col min="4" max="4" width="16" customWidth="1"/>
    <col min="5" max="5" width="18" customWidth="1"/>
    <col min="6" max="6" width="14" customWidth="1"/>
    <col min="7" max="8" width="20" customWidth="1"/>
    <col min="9" max="9" width="16" customWidth="1"/>
    <col min="10" max="26" width="8.7109375" customWidth="1"/>
  </cols>
  <sheetData>
    <row r="1" spans="1:9" ht="18.75">
      <c r="A1" s="4" t="s">
        <v>1630</v>
      </c>
    </row>
    <row r="3" spans="1:9">
      <c r="A3" s="6" t="s">
        <v>1631</v>
      </c>
      <c r="B3" s="6" t="s">
        <v>1632</v>
      </c>
      <c r="C3" s="6" t="s">
        <v>1633</v>
      </c>
    </row>
    <row r="4" spans="1:9">
      <c r="A4" s="5" t="s">
        <v>1634</v>
      </c>
      <c r="B4" s="19">
        <v>0.75</v>
      </c>
      <c r="C4" s="5" t="s">
        <v>1635</v>
      </c>
    </row>
    <row r="5" spans="1:9">
      <c r="A5" s="5" t="s">
        <v>1636</v>
      </c>
      <c r="B5" s="19">
        <v>0.6</v>
      </c>
      <c r="C5" s="5" t="s">
        <v>1637</v>
      </c>
    </row>
    <row r="6" spans="1:9">
      <c r="A6" s="5" t="s">
        <v>1638</v>
      </c>
      <c r="B6" s="19">
        <v>0.4</v>
      </c>
      <c r="C6" s="5" t="s">
        <v>1639</v>
      </c>
    </row>
    <row r="7" spans="1:9">
      <c r="A7" s="5" t="s">
        <v>1640</v>
      </c>
      <c r="B7" s="14">
        <v>10</v>
      </c>
      <c r="C7" s="5" t="s">
        <v>1641</v>
      </c>
    </row>
    <row r="8" spans="1:9">
      <c r="A8" s="5" t="s">
        <v>1642</v>
      </c>
      <c r="B8" s="19">
        <v>0.15</v>
      </c>
      <c r="C8" s="5" t="s">
        <v>1643</v>
      </c>
    </row>
    <row r="11" spans="1:9">
      <c r="A11" s="6" t="s">
        <v>1644</v>
      </c>
      <c r="B11" s="6" t="s">
        <v>60</v>
      </c>
      <c r="C11" s="6" t="s">
        <v>59</v>
      </c>
      <c r="D11" s="6" t="s">
        <v>102</v>
      </c>
      <c r="E11" s="6" t="s">
        <v>104</v>
      </c>
      <c r="F11" s="6" t="s">
        <v>106</v>
      </c>
      <c r="G11" s="6" t="s">
        <v>1645</v>
      </c>
      <c r="H11" s="6" t="s">
        <v>1646</v>
      </c>
      <c r="I11" s="6" t="s">
        <v>1647</v>
      </c>
    </row>
    <row r="12" spans="1:9">
      <c r="A12" s="5" t="s">
        <v>34</v>
      </c>
      <c r="B12" s="5" t="s">
        <v>37</v>
      </c>
      <c r="C12" s="5" t="s">
        <v>1648</v>
      </c>
      <c r="D12" s="5" t="s">
        <v>1649</v>
      </c>
      <c r="E12" s="5" t="s">
        <v>1650</v>
      </c>
      <c r="F12" s="5" t="s">
        <v>1651</v>
      </c>
      <c r="G12" s="5" t="s">
        <v>1652</v>
      </c>
      <c r="H12" s="5" t="s">
        <v>1653</v>
      </c>
      <c r="I12" s="5" t="s">
        <v>82</v>
      </c>
    </row>
    <row r="13" spans="1:9">
      <c r="A13" s="5" t="s">
        <v>62</v>
      </c>
      <c r="B13" s="5" t="s">
        <v>61</v>
      </c>
      <c r="C13" s="5" t="s">
        <v>1654</v>
      </c>
      <c r="D13" s="5" t="s">
        <v>1655</v>
      </c>
      <c r="E13" s="5" t="s">
        <v>1656</v>
      </c>
      <c r="F13" s="5" t="s">
        <v>1657</v>
      </c>
      <c r="G13" s="5" t="s">
        <v>1658</v>
      </c>
      <c r="H13" s="5" t="s">
        <v>1659</v>
      </c>
      <c r="I13" s="5" t="s">
        <v>107</v>
      </c>
    </row>
    <row r="14" spans="1:9">
      <c r="A14" s="5" t="s">
        <v>63</v>
      </c>
      <c r="D14" s="5" t="s">
        <v>1660</v>
      </c>
      <c r="E14" s="5" t="s">
        <v>1661</v>
      </c>
      <c r="F14" s="5" t="s">
        <v>1662</v>
      </c>
      <c r="G14" s="5" t="s">
        <v>1663</v>
      </c>
      <c r="H14" s="5" t="s">
        <v>1664</v>
      </c>
      <c r="I14" s="5" t="s">
        <v>155</v>
      </c>
    </row>
    <row r="15" spans="1:9">
      <c r="E15" s="5" t="s">
        <v>1665</v>
      </c>
      <c r="G15" s="5" t="s">
        <v>1666</v>
      </c>
      <c r="H15" s="5" t="s">
        <v>1667</v>
      </c>
      <c r="I15" s="5" t="s">
        <v>210</v>
      </c>
    </row>
    <row r="16" spans="1:9">
      <c r="G16" s="5" t="s">
        <v>1668</v>
      </c>
      <c r="I16" s="5" t="s">
        <v>119</v>
      </c>
    </row>
    <row r="17" spans="9:9">
      <c r="I17" s="5" t="s">
        <v>363</v>
      </c>
    </row>
    <row r="18" spans="9:9">
      <c r="I18" s="5" t="s">
        <v>122</v>
      </c>
    </row>
    <row r="19" spans="9:9">
      <c r="I19" s="5" t="s">
        <v>353</v>
      </c>
    </row>
    <row r="20" spans="9:9">
      <c r="I20" s="5" t="s">
        <v>134</v>
      </c>
    </row>
    <row r="21" spans="9:9" ht="15.75" customHeight="1">
      <c r="I21" s="5" t="s">
        <v>109</v>
      </c>
    </row>
    <row r="22" spans="9:9" ht="15.75" customHeight="1">
      <c r="I22" s="5" t="s">
        <v>143</v>
      </c>
    </row>
    <row r="23" spans="9:9" ht="15.75" customHeight="1">
      <c r="I23" s="5" t="s">
        <v>167</v>
      </c>
    </row>
    <row r="24" spans="9:9" ht="15.75" customHeight="1"/>
    <row r="25" spans="9:9" ht="15.75" customHeight="1"/>
    <row r="26" spans="9:9" ht="15.75" customHeight="1"/>
    <row r="27" spans="9:9" ht="15.75" customHeight="1"/>
    <row r="28" spans="9:9" ht="15.75" customHeight="1"/>
    <row r="29" spans="9:9" ht="15.75" customHeight="1"/>
    <row r="30" spans="9:9" ht="15.75" customHeight="1"/>
    <row r="31" spans="9:9" ht="15.75" customHeight="1"/>
    <row r="32" spans="9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Guide</vt:lpstr>
      <vt:lpstr>KRGI Dashboard</vt:lpstr>
      <vt:lpstr>All Criteria</vt:lpstr>
      <vt:lpstr>C1 Validation Rubrics</vt:lpstr>
      <vt:lpstr>C2 Validation Rubrics</vt:lpstr>
      <vt:lpstr>C3 Validation Rubrics</vt:lpstr>
      <vt:lpstr>C4 Validation Rubrics</vt:lpstr>
      <vt:lpstr>C5 Validation Rubrics</vt:lpstr>
      <vt:lpstr>C6 Validation Rubrics</vt:lpstr>
      <vt:lpstr>C7 Validation Rubrics</vt:lpstr>
      <vt:lpstr>C8 Validation Rubrics</vt:lpstr>
      <vt:lpstr>C9 Validation Rubrics</vt:lpstr>
      <vt:lpstr>Criterion Summary</vt:lpstr>
      <vt:lpstr>Audit Allocation</vt:lpstr>
      <vt:lpstr>Auditor Pool</vt:lpstr>
      <vt:lpstr>Settings</vt:lpstr>
      <vt:lpstr>CT</vt:lpstr>
      <vt:lpstr>QMAX</vt:lpstr>
      <vt:lpstr>TOL</vt:lpstr>
      <vt:lpstr>WT</vt:lpstr>
      <vt:lpstr>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Rajaguru K</dc:creator>
  <cp:lastModifiedBy>IQAC CT</cp:lastModifiedBy>
  <dcterms:modified xsi:type="dcterms:W3CDTF">2026-10-27T15:41:35Z</dcterms:modified>
</cp:coreProperties>
</file>